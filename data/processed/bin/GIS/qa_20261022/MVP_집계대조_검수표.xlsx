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05a2831b4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집계확인" sheetId="1" r:id="Rf4ce38230a554784"/>
    <x:sheet xmlns:r="http://schemas.openxmlformats.org/officeDocument/2006/relationships" name="무작위검수30건" sheetId="2" r:id="Rb353d9f32627485f"/>
    <x:sheet xmlns:r="http://schemas.openxmlformats.org/officeDocument/2006/relationships" name="위험검수10건" sheetId="3" r:id="R788de7451e72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0.0000"/>
    <x:numFmt numFmtId="203" formatCode="@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61"/>
      </x:patternFill>
    </x:fill>
    <x:fill>
      <x:patternFill patternType="solid">
        <x:fgColor rgb="FFE9EEF5"/>
      </x:patternFill>
    </x:fill>
    <x:fill>
      <x:patternFill patternType="solid">
        <x:fgColor rgb="FFFFF2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8597210a64acc" /><Relationship Type="http://schemas.openxmlformats.org/officeDocument/2006/relationships/theme" Target="/xl/theme/theme1.xml" Id="R46f478ac657c4991" /><Relationship Type="http://schemas.openxmlformats.org/officeDocument/2006/relationships/sharedStrings" Target="/xl/sharedStrings.xml" Id="R15af0c4323684121" /><Relationship Type="http://schemas.openxmlformats.org/officeDocument/2006/relationships/worksheet" Target="/xl/worksheets/sheet1.xml" Id="Rf4ce38230a554784" /><Relationship Type="http://schemas.openxmlformats.org/officeDocument/2006/relationships/worksheet" Target="/xl/worksheets/sheet2.xml" Id="Rb353d9f32627485f" /><Relationship Type="http://schemas.openxmlformats.org/officeDocument/2006/relationships/worksheet" Target="/xl/worksheets/sheet3.xml" Id="R788de7451e72479b" /></Relationships>
</file>

<file path=xl/tables/table1.xml><?xml version="1.0" encoding="utf-8"?>
<x:table xmlns:x="http://schemas.openxmlformats.org/spreadsheetml/2006/main" id="1" name="RandomReview" displayName="RandomReview" ref="A4:Z34" headerRowCount="1" totalsRowCount="0" totalsRowShown="0">
  <x:tableColumns count="26">
    <x:tableColumn id="1" name="표본구분"/>
    <x:tableColumn id="2" name="행정동"/>
    <x:tableColumn id="3" name="현재업종"/>
    <x:tableColumn id="4" name="시장구분"/>
    <x:tableColumn id="5" name="현재상태"/>
    <x:tableColumn id="6" name="원본상호"/>
    <x:tableColumn id="7" name="원본주소"/>
    <x:tableColumn id="8" name="동일가게판정"/>
    <x:tableColumn id="9" name="업종판정"/>
    <x:tableColumn id="10" name="검토자"/>
    <x:tableColumn id="11" name="검토메모"/>
    <x:tableColumn id="12" name="위험표시"/>
    <x:tableColumn id="13" name="후보상호"/>
    <x:tableColumn id="14" name="후보주소"/>
    <x:tableColumn id="15" name="후보업종"/>
    <x:tableColumn id="16" name="후보거리_m"/>
    <x:tableColumn id="17" name="후보유사도"/>
    <x:tableColumn id="18" name="검색반경_m"/>
    <x:tableColumn id="19" name="검색결과상태"/>
    <x:tableColumn id="20" name="후보해석"/>
    <x:tableColumn id="21" name="분류근거_보조자료"/>
    <x:tableColumn id="22" name="확인링크"/>
    <x:tableColumn id="23" name="검토근거URL"/>
    <x:tableColumn id="24" name="가맹점ID"/>
    <x:tableColumn id="25" name="추출사유"/>
    <x:tableColumn id="26" name="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view" displayName="RiskReview" ref="A4:Z14" headerRowCount="1" totalsRowCount="0" totalsRowShown="0">
  <x:tableColumns count="26">
    <x:tableColumn id="1" name="표본구분"/>
    <x:tableColumn id="2" name="행정동"/>
    <x:tableColumn id="3" name="현재업종"/>
    <x:tableColumn id="4" name="시장구분"/>
    <x:tableColumn id="5" name="현재상태"/>
    <x:tableColumn id="6" name="원본상호"/>
    <x:tableColumn id="7" name="원본주소"/>
    <x:tableColumn id="8" name="동일가게판정"/>
    <x:tableColumn id="9" name="업종판정"/>
    <x:tableColumn id="10" name="검토자"/>
    <x:tableColumn id="11" name="검토메모"/>
    <x:tableColumn id="12" name="위험표시"/>
    <x:tableColumn id="13" name="후보상호"/>
    <x:tableColumn id="14" name="후보주소"/>
    <x:tableColumn id="15" name="후보업종"/>
    <x:tableColumn id="16" name="후보거리_m"/>
    <x:tableColumn id="17" name="후보유사도"/>
    <x:tableColumn id="18" name="검색반경_m"/>
    <x:tableColumn id="19" name="검색결과상태"/>
    <x:tableColumn id="20" name="후보해석"/>
    <x:tableColumn id="21" name="분류근거_보조자료"/>
    <x:tableColumn id="22" name="확인링크"/>
    <x:tableColumn id="23" name="검토근거URL"/>
    <x:tableColumn id="24" name="가맹점ID"/>
    <x:tableColumn id="25" name="추출사유"/>
    <x:tableColumn id="26" name="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3f10ee821c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b5a11edac748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4" hidden="0" customWidth="1"/>
    <x:col min="4" max="4" width="20" hidden="0" customWidth="1"/>
    <x:col min="5" max="5" width="16" hidden="0" customWidth="1"/>
    <x:col min="6" max="6" width="24" hidden="0" customWidth="1"/>
    <x:col min="7" max="7" width="24" hidden="0" customWidth="1"/>
    <x:col min="8" max="8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MVP 집계 대조 · 2026-10-22</x:v>
      </x:c>
      <x:c r="B2" s="1"/>
      <x:c r="C2" s="1"/>
      <x:c r="D2" s="1"/>
      <x:c r="E2" s="1"/>
      <x:c r="F2" s="1"/>
      <x:c r="G2" s="1"/>
      <x:c r="H2" s="1"/>
    </x:row>
    <x:row r="3" ht="23" customHeight="1">
      <x:c r="A3" s="1"/>
      <x:c r="B3" s="1"/>
      <x:c r="C3" s="1"/>
      <x:c r="D3" s="1"/>
      <x:c r="E3" s="1"/>
      <x:c r="F3" s="1"/>
      <x:c r="G3" s="1"/>
      <x:c r="H3" s="1"/>
    </x:row>
    <x:row r="4" ht="23" customHeight="1">
      <x:c r="A4" s="1" t="str">
        <x:v>MVP 전체 3,593건 / 분류완료 782건 / 미매칭 960건</x:v>
      </x:c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36" customHeight="1">
      <x:c r="A6" s="5" t="str">
        <x:v>행정동</x:v>
      </x:c>
      <x:c r="B6" s="5" t="str">
        <x:v>시장 안팎</x:v>
      </x:c>
      <x:c r="C6" s="5" t="str">
        <x:v>식사</x:v>
      </x:c>
      <x:c r="D6" s="5" t="str">
        <x:v>커피·디저트</x:v>
      </x:c>
      <x:c r="E6" s="5" t="str">
        <x:v>간식·먹거리</x:v>
      </x:c>
      <x:c r="F6" s="5" t="str">
        <x:v>식사|간식·먹거리</x:v>
      </x:c>
      <x:c r="G6" s="5" t="str">
        <x:v>소품·기념품 쇼핑</x:v>
      </x:c>
      <x:c r="H6" s="5" t="str">
        <x:v>합계</x:v>
      </x:c>
    </x:row>
    <x:row r="7" ht="23" customHeight="1">
      <x:c r="A7" s="1" t="str">
        <x:v>남포동</x:v>
      </x:c>
      <x:c r="B7" s="1" t="str">
        <x:v>밖</x:v>
      </x:c>
      <x:c r="C7" s="8" t="n">
        <x:v>151</x:v>
      </x:c>
      <x:c r="D7" s="8" t="n">
        <x:v>40</x:v>
      </x:c>
      <x:c r="E7" s="8" t="n">
        <x:v>8</x:v>
      </x:c>
      <x:c r="F7" s="8" t="n">
        <x:v>5</x:v>
      </x:c>
      <x:c r="G7" s="8" t="n">
        <x:v>0</x:v>
      </x:c>
      <x:c r="H7" s="8" t="n">
        <x:f>SUM(C7:G7)</x:f>
        <x:v>204</x:v>
      </x:c>
    </x:row>
    <x:row r="8" ht="23" customHeight="1">
      <x:c r="A8" s="1" t="str">
        <x:v>남포동</x:v>
      </x:c>
      <x:c r="B8" s="1" t="str">
        <x:v>안</x:v>
      </x:c>
      <x:c r="C8" s="8" t="n">
        <x:v>59</x:v>
      </x:c>
      <x:c r="D8" s="8" t="n">
        <x:v>2</x:v>
      </x:c>
      <x:c r="E8" s="8" t="n">
        <x:v>2</x:v>
      </x:c>
      <x:c r="F8" s="8" t="n">
        <x:v>0</x:v>
      </x:c>
      <x:c r="G8" s="8" t="n">
        <x:v>0</x:v>
      </x:c>
      <x:c r="H8" s="8" t="n">
        <x:f>SUM(C8:G8)</x:f>
        <x:v>63</x:v>
      </x:c>
    </x:row>
    <x:row r="9" ht="23" customHeight="1">
      <x:c r="A9" s="1" t="str">
        <x:v>광복동</x:v>
      </x:c>
      <x:c r="B9" s="1" t="str">
        <x:v>밖</x:v>
      </x:c>
      <x:c r="C9" s="8" t="n">
        <x:v>74</x:v>
      </x:c>
      <x:c r="D9" s="8" t="n">
        <x:v>39</x:v>
      </x:c>
      <x:c r="E9" s="8" t="n">
        <x:v>7</x:v>
      </x:c>
      <x:c r="F9" s="8" t="n">
        <x:v>8</x:v>
      </x:c>
      <x:c r="G9" s="8" t="n">
        <x:v>10</x:v>
      </x:c>
      <x:c r="H9" s="8" t="n">
        <x:f>SUM(C9:G9)</x:f>
        <x:v>138</x:v>
      </x:c>
    </x:row>
    <x:row r="10" ht="23" customHeight="1">
      <x:c r="A10" s="1" t="str">
        <x:v>광복동</x:v>
      </x:c>
      <x:c r="B10" s="1" t="str">
        <x:v>안</x:v>
      </x:c>
      <x:c r="C10" s="8" t="n">
        <x:v>0</x:v>
      </x:c>
      <x:c r="D10" s="8" t="n">
        <x:v>3</x:v>
      </x:c>
      <x:c r="E10" s="8" t="n">
        <x:v>2</x:v>
      </x:c>
      <x:c r="F10" s="8" t="n">
        <x:v>0</x:v>
      </x:c>
      <x:c r="G10" s="8" t="n">
        <x:v>0</x:v>
      </x:c>
      <x:c r="H10" s="8" t="n">
        <x:f>SUM(C10:G10)</x:f>
        <x:v>5</x:v>
      </x:c>
    </x:row>
    <x:row r="11" ht="23" customHeight="1">
      <x:c r="A11" s="1" t="str">
        <x:v>부평동</x:v>
      </x:c>
      <x:c r="B11" s="1" t="str">
        <x:v>밖</x:v>
      </x:c>
      <x:c r="C11" s="8" t="n">
        <x:v>253</x:v>
      </x:c>
      <x:c r="D11" s="8" t="n">
        <x:v>29</x:v>
      </x:c>
      <x:c r="E11" s="8" t="n">
        <x:v>16</x:v>
      </x:c>
      <x:c r="F11" s="8" t="n">
        <x:v>15</x:v>
      </x:c>
      <x:c r="G11" s="8" t="n">
        <x:v>5</x:v>
      </x:c>
      <x:c r="H11" s="8" t="n">
        <x:f>SUM(C11:G11)</x:f>
        <x:v>318</x:v>
      </x:c>
    </x:row>
    <x:row r="12" ht="23" customHeight="1">
      <x:c r="A12" s="1" t="str">
        <x:v>부평동</x:v>
      </x:c>
      <x:c r="B12" s="1" t="str">
        <x:v>안</x:v>
      </x:c>
      <x:c r="C12" s="8" t="n">
        <x:v>1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f>SUM(C12:G12)</x:f>
        <x:v>1</x:v>
      </x:c>
    </x:row>
    <x:row r="13" ht="23" customHeight="1">
      <x:c r="A13" s="1" t="str">
        <x:v>대청동</x:v>
      </x:c>
      <x:c r="B13" s="1" t="str">
        <x:v>밖</x:v>
      </x:c>
      <x:c r="C13" s="8" t="n">
        <x:v>28</x:v>
      </x:c>
      <x:c r="D13" s="8" t="n">
        <x:v>13</x:v>
      </x:c>
      <x:c r="E13" s="8" t="n">
        <x:v>9</x:v>
      </x:c>
      <x:c r="F13" s="8" t="n">
        <x:v>3</x:v>
      </x:c>
      <x:c r="G13" s="8" t="n">
        <x:v>0</x:v>
      </x:c>
      <x:c r="H13" s="8" t="n">
        <x:f>SUM(C13:G13)</x:f>
        <x:v>53</x:v>
      </x:c>
    </x:row>
    <x:row r="14" ht="23" customHeight="1">
      <x:c r="A14" s="1" t="str">
        <x:v>대청동</x:v>
      </x:c>
      <x:c r="B14" s="1" t="str">
        <x:v>안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  <x:c r="H14" s="8" t="n">
        <x:f>SUM(C14:G14)</x:f>
        <x:v>0</x:v>
      </x:c>
    </x:row>
    <x:row r="15" ht="23" customHeight="1">
      <x:c r="A15" s="7" t="str">
        <x:v>합계</x:v>
      </x:c>
      <x:c r="B15" s="7"/>
      <x:c r="C15" s="9" t="n">
        <x:f>SUM(C7:C14)</x:f>
        <x:v>566</x:v>
      </x:c>
      <x:c r="D15" s="9" t="n">
        <x:f>SUM(D7:D14)</x:f>
        <x:v>126</x:v>
      </x:c>
      <x:c r="E15" s="9" t="n">
        <x:f>SUM(E7:E14)</x:f>
        <x:v>44</x:v>
      </x:c>
      <x:c r="F15" s="9" t="n">
        <x:f>SUM(F7:F14)</x:f>
        <x:v>31</x:v>
      </x:c>
      <x:c r="G15" s="9" t="n">
        <x:f>SUM(G7:G14)</x:f>
        <x:v>15</x:v>
      </x:c>
      <x:c r="H15" s="9" t="n">
        <x:f>SUM(H7:H14)</x:f>
        <x:v>782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</x:row>
    <x:row r="18" ht="23" customHeight="1">
      <x:c r="A18" s="10" t="str">
        <x:v>차이 64건의 계산</x:v>
      </x:c>
      <x:c r="B18" s="1"/>
      <x:c r="C18" s="1"/>
      <x:c r="D18" s="1"/>
      <x:c r="E18" s="1"/>
      <x:c r="F18" s="1"/>
      <x:c r="G18" s="1"/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36" customHeight="1">
      <x:c r="A20" s="5" t="str">
        <x:v>항목</x:v>
      </x:c>
      <x:c r="B20" s="5" t="str">
        <x:v>건수</x:v>
      </x:c>
      <x:c r="C20" s="1"/>
      <x:c r="D20" s="5" t="str">
        <x:v>확인사항</x:v>
      </x:c>
      <x:c r="E20" s="5"/>
      <x:c r="F20" s="5"/>
      <x:c r="G20" s="5"/>
      <x:c r="H20" s="5" t="str">
        <x:v>건수</x:v>
      </x:c>
    </x:row>
    <x:row r="21" ht="23" customHeight="1">
      <x:c r="A21" s="1" t="str">
        <x:v>제시표 합계</x:v>
      </x:c>
      <x:c r="B21" s="8" t="n">
        <x:v>718</x:v>
      </x:c>
      <x:c r="C21" s="1"/>
      <x:c r="D21" s="1" t="str">
        <x:v>GIS의 분류완료 수</x:v>
      </x:c>
      <x:c r="E21" s="1"/>
      <x:c r="F21" s="1"/>
      <x:c r="G21" s="1"/>
      <x:c r="H21" s="1" t="n">
        <x:v>736</x:v>
      </x:c>
    </x:row>
    <x:row r="22" ht="23" customHeight="1">
      <x:c r="A22" s="1" t="str">
        <x:v>간식·복수목적 누락분</x:v>
      </x:c>
      <x:c r="B22" s="8" t="n">
        <x:v>75</x:v>
      </x:c>
      <x:c r="C22" s="1"/>
      <x:c r="D22" s="1" t="str">
        <x:v>CSV·GIS 상태가 다른 ID</x:v>
      </x:c>
      <x:c r="E22" s="1"/>
      <x:c r="F22" s="1"/>
      <x:c r="G22" s="1"/>
      <x:c r="H22" s="1" t="n">
        <x:v>218</x:v>
      </x:c>
    </x:row>
    <x:row r="23" ht="23" customHeight="1">
      <x:c r="A23" s="1" t="str">
        <x:v>식사 항목 최신값 조정</x:v>
      </x:c>
      <x:c r="B23" s="8" t="n">
        <x:v>-15</x:v>
      </x:c>
      <x:c r="C23" s="1"/>
      <x:c r="D23" s="1" t="str">
        <x:v>분류완료인데 CSV 근거 빈칸</x:v>
      </x:c>
      <x:c r="E23" s="1"/>
      <x:c r="F23" s="1"/>
      <x:c r="G23" s="1"/>
      <x:c r="H23" s="1" t="n">
        <x:v>46</x:v>
      </x:c>
    </x:row>
    <x:row r="24" ht="23" customHeight="1">
      <x:c r="A24" s="1" t="str">
        <x:v>쇼핑 항목 최신값 조정</x:v>
      </x:c>
      <x:c r="B24" s="8" t="n">
        <x:v>4</x:v>
      </x:c>
      <x:c r="C24" s="1"/>
      <x:c r="D24" s="1" t="str">
        <x:v>분류완료인데 CSV 목적태그 빈칸</x:v>
      </x:c>
      <x:c r="E24" s="1"/>
      <x:c r="F24" s="1"/>
      <x:c r="G24" s="1"/>
      <x:c r="H24" s="1" t="n">
        <x:v>47</x:v>
      </x:c>
    </x:row>
    <x:row r="25" ht="23" customHeight="1">
      <x:c r="A25" s="1" t="str">
        <x:v>대조 후 합계</x:v>
      </x:c>
      <x:c r="B25" s="8" t="n">
        <x:f>SUM(B21:B24)</x:f>
        <x:v>782</x:v>
      </x:c>
      <x:c r="C25" s="1"/>
      <x:c r="D25" s="1"/>
      <x:c r="E25" s="1"/>
      <x:c r="F25" s="1"/>
      <x:c r="G25" s="1"/>
      <x:c r="H25" s="1"/>
    </x:row>
    <x:row r="26" ht="23" customHeight="1">
      <x:c r="A26" s="1" t="str">
        <x:v>782건과의 차이</x:v>
      </x:c>
      <x:c r="B26" s="8" t="n">
        <x:f>H15-B25</x:f>
        <x:v>0</x:v>
      </x:c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 t="str">
        <x:v>원본은 변경하지 않음. GIS와 CSV의 시점 차이는 별도 대조표 참고.</x:v>
      </x:c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 t="str">
        <x:v>표본: 분류완료 20 + 대상외 10 + 위험사례 10. 판정란은 검수 후 입력.</x:v>
      </x:c>
      <x:c r="B30" s="1"/>
      <x:c r="C30" s="1"/>
      <x:c r="D30" s="1"/>
      <x:c r="E30" s="1"/>
      <x:c r="F30" s="1"/>
      <x:c r="G30" s="1"/>
      <x:c r="H30" s="1"/>
    </x:row>
    <x:row r="31" ht="23" customHeight="1">
      <x:c r="A31" s="1" t="str">
        <x:v>위험표본은 의도추출이며, 40건으로 전체 정확도를 산출하면 안 됨.</x:v>
      </x:c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 t="str">
        <x:v>원본: team5/data/processed/GIS/mvp/mvp_merchants.csv (2026-10-22 확인)</x:v>
      </x:c>
      <x:c r="B33" s="1"/>
      <x:c r="C33" s="1"/>
      <x:c r="D33" s="1"/>
      <x:c r="E33" s="1"/>
      <x:c r="F33" s="1"/>
      <x:c r="G33" s="1"/>
      <x:c r="H33" s="1"/>
    </x:row>
    <x:row r="34" ht="23" customHeight="1">
      <x:c r="A34" s="1" t="str">
        <x:v>보조 근거: travel_purposes 원천·delta, kakao_rematch/results.csv, 기존 카카오 캐시</x:v>
      </x:c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9" hidden="0" customWidth="1"/>
    <x:col min="5" max="5" width="20" hidden="0" customWidth="1"/>
    <x:col min="6" max="6" width="30" hidden="0" customWidth="1"/>
    <x:col min="7" max="7" width="48" hidden="0" customWidth="1"/>
    <x:col min="8" max="8" width="20" hidden="0" customWidth="1"/>
    <x:col min="9" max="9" width="20" hidden="0" customWidth="1"/>
    <x:col min="10" max="10" width="20" hidden="0" customWidth="1"/>
    <x:col min="11" max="11" width="44" hidden="0" customWidth="1"/>
    <x:col min="12" max="12" width="65" hidden="0" customWidth="1"/>
    <x:col min="13" max="13" width="42" hidden="0" customWidth="1"/>
    <x:col min="14" max="14" width="42" hidden="0" customWidth="1"/>
    <x:col min="15" max="15" width="5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42" hidden="0" customWidth="1"/>
    <x:col min="21" max="21" width="90" hidden="0" customWidth="1"/>
    <x:col min="22" max="22" width="65" hidden="0" customWidth="1"/>
    <x:col min="23" max="23" width="65" hidden="0" customWidth="1"/>
    <x:col min="24" max="24" width="38" hidden="0" customWidth="1"/>
    <x:col min="25" max="25" width="48" hidden="0" customWidth="1"/>
    <x:col min="26" max="26" width="48" hidden="0" customWidth="1"/>
  </x:cols>
  <x:sheetData>
    <x:row r="1" ht="25" customHeight="1">
      <x:c r="A1" s="1"/>
      <x:c r="B1" s="1"/>
      <x:c r="C1" s="1"/>
      <x:c r="D1" s="1"/>
      <x:c r="E1" s="1"/>
      <x:c r="F1" s="15"/>
      <x:c r="G1" s="15"/>
      <x:c r="H1" s="1"/>
      <x:c r="I1" s="1"/>
      <x:c r="J1" s="1"/>
      <x:c r="K1" s="1"/>
      <x:c r="L1" s="15"/>
      <x:c r="M1" s="15"/>
      <x:c r="N1" s="15"/>
      <x:c r="O1" s="15"/>
      <x:c r="P1" s="1"/>
      <x:c r="Q1" s="1"/>
      <x:c r="R1" s="1"/>
      <x:c r="S1" s="1"/>
      <x:c r="T1" s="15"/>
      <x:c r="U1" s="15"/>
      <x:c r="V1" s="1"/>
      <x:c r="W1" s="1"/>
      <x:c r="X1" s="1"/>
      <x:c r="Y1" s="15"/>
      <x:c r="Z1" s="15"/>
    </x:row>
    <x:row r="2" ht="25" customHeight="1">
      <x:c r="A2" s="2" t="str">
        <x:v>무작위 층화 표본 30건 · 분류완료 20 / 대상외 10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5" customHeight="1">
      <x:c r="A3" s="1" t="str">
        <x:v>노란 칸 입력: 동일가게 / 업종을 각각 판단하고 근거 URL·메모 기록. 검색 후보는 확정 가게가 아님.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6" customHeight="1">
      <x:c r="A4" s="5" t="str">
        <x:v>표본구분</x:v>
      </x:c>
      <x:c r="B4" s="5" t="str">
        <x:v>행정동</x:v>
      </x:c>
      <x:c r="C4" s="5" t="str">
        <x:v>현재업종</x:v>
      </x:c>
      <x:c r="D4" s="5" t="str">
        <x:v>시장구분</x:v>
      </x:c>
      <x:c r="E4" s="5" t="str">
        <x:v>현재상태</x:v>
      </x:c>
      <x:c r="F4" s="5" t="str">
        <x:v>원본상호</x:v>
      </x:c>
      <x:c r="G4" s="5" t="str">
        <x:v>원본주소</x:v>
      </x:c>
      <x:c r="H4" s="5" t="str">
        <x:v>동일가게판정</x:v>
      </x:c>
      <x:c r="I4" s="5" t="str">
        <x:v>업종판정</x:v>
      </x:c>
      <x:c r="J4" s="5" t="str">
        <x:v>검토자</x:v>
      </x:c>
      <x:c r="K4" s="5" t="str">
        <x:v>검토메모</x:v>
      </x:c>
      <x:c r="L4" s="5" t="str">
        <x:v>위험표시</x:v>
      </x:c>
      <x:c r="M4" s="5" t="str">
        <x:v>후보상호</x:v>
      </x:c>
      <x:c r="N4" s="5" t="str">
        <x:v>후보주소</x:v>
      </x:c>
      <x:c r="O4" s="5" t="str">
        <x:v>후보업종</x:v>
      </x:c>
      <x:c r="P4" s="5" t="str">
        <x:v>후보거리_m</x:v>
      </x:c>
      <x:c r="Q4" s="5" t="str">
        <x:v>후보유사도</x:v>
      </x:c>
      <x:c r="R4" s="5" t="str">
        <x:v>검색반경_m</x:v>
      </x:c>
      <x:c r="S4" s="5" t="str">
        <x:v>검색결과상태</x:v>
      </x:c>
      <x:c r="T4" s="5" t="str">
        <x:v>후보해석</x:v>
      </x:c>
      <x:c r="U4" s="5" t="str">
        <x:v>분류근거_보조자료</x:v>
      </x:c>
      <x:c r="V4" s="5" t="str">
        <x:v>확인링크</x:v>
      </x:c>
      <x:c r="W4" s="5" t="str">
        <x:v>검토근거URL</x:v>
      </x:c>
      <x:c r="X4" s="5" t="str">
        <x:v>가맹점ID</x:v>
      </x:c>
      <x:c r="Y4" s="5" t="str">
        <x:v>추출사유</x:v>
      </x:c>
      <x:c r="Z4" s="5" t="str">
        <x:v>층</x:v>
      </x:c>
    </x:row>
    <x:row r="5" ht="15" hidden="0" customHeight="1">
      <x:c r="A5" s="1" t="str">
        <x:v>무작위_분류완료</x:v>
      </x:c>
      <x:c r="B5" s="1" t="str">
        <x:v>광복동</x:v>
      </x:c>
      <x:c r="C5" s="1" t="str">
        <x:v>간식·먹거리</x:v>
      </x:c>
      <x:c r="D5" s="1" t="str">
        <x:v>안</x:v>
      </x:c>
      <x:c r="E5" s="1" t="str">
        <x:v>classified</x:v>
      </x:c>
      <x:c r="F5" s="1" t="str">
        <x:v>구포 카스테라</x:v>
      </x:c>
      <x:c r="G5" s="1" t="str">
        <x:v>부산 중구 중구로 42</x:v>
      </x:c>
      <x:c r="H5" s="11" t="str"/>
      <x:c r="I5" s="11" t="str"/>
      <x:c r="J5" s="11" t="str"/>
      <x:c r="K5" s="11" t="str"/>
      <x:c r="L5" s="1" t="str">
        <x:v>복수 연결근거 점검</x:v>
      </x:c>
      <x:c r="M5" s="1" t="str">
        <x:v>구포카스테라</x:v>
      </x:c>
      <x:c r="N5" s="1" t="str"/>
      <x:c r="O5" s="1" t="str">
        <x:v>음식점 &gt; 간식 &gt; 제과,베이커리</x:v>
      </x:c>
      <x:c r="P5" s="12"/>
      <x:c r="Q5" s="13"/>
      <x:c r="R5" s="8"/>
      <x:c r="S5" s="1" t="str">
        <x:v>ok</x:v>
      </x:c>
      <x:c r="T5" s="1" t="str">
        <x:v>기존 캐시 · 주소좌표 없음</x:v>
      </x:c>
      <x:c r="U5" s="1" t="str">
        <x:v>kakao: 음식점: 음식점 &gt; 간식 &gt; 제과,베이커리 | sangga: 음식: 빵/도넛</x:v>
      </x:c>
      <x:c r="V5" s="1" t="str"/>
      <x:c r="W5" s="11" t="str"/>
      <x:c r="X5" s="14" t="str">
        <x:v>5c53386b034395460f5bc0db2480dcb0</x:v>
      </x:c>
      <x:c r="Y5" s="1" t="str">
        <x:v>동×배타적 목적층 1건 이상</x:v>
      </x:c>
      <x:c r="Z5" s="1" t="str">
        <x:v>광복동 / 간식·먹거리</x:v>
      </x:c>
    </x:row>
    <x:row r="6" ht="15" hidden="0" customHeight="1">
      <x:c r="A6" s="1" t="str">
        <x:v>무작위_분류완료</x:v>
      </x:c>
      <x:c r="B6" s="1" t="str">
        <x:v>광복동</x:v>
      </x:c>
      <x:c r="C6" s="1" t="str">
        <x:v>소품·기념품 쇼핑</x:v>
      </x:c>
      <x:c r="D6" s="1" t="str">
        <x:v>밖</x:v>
      </x:c>
      <x:c r="E6" s="1" t="str">
        <x:v>classified</x:v>
      </x:c>
      <x:c r="F6" s="1" t="str">
        <x:v>캔들e</x:v>
      </x:c>
      <x:c r="G6" s="1" t="str">
        <x:v>부산 중구 국제시장2길 19</x:v>
      </x:c>
      <x:c r="H6" s="11" t="str"/>
      <x:c r="I6" s="11" t="str"/>
      <x:c r="J6" s="11" t="str"/>
      <x:c r="K6" s="11" t="str"/>
      <x:c r="L6" s="1" t="str">
        <x:v>복수 연결근거 점검</x:v>
      </x:c>
      <x:c r="M6" s="1" t="str">
        <x:v>캔들e</x:v>
      </x:c>
      <x:c r="N6" s="1" t="str"/>
      <x:c r="O6" s="1" t="str">
        <x:v>가정,생활 &gt; 생활용품점</x:v>
      </x:c>
      <x:c r="P6" s="12"/>
      <x:c r="Q6" s="13"/>
      <x:c r="R6" s="8"/>
      <x:c r="S6" s="1" t="str">
        <x:v>ok</x:v>
      </x:c>
      <x:c r="T6" s="1" t="str">
        <x:v>기존 캐시 · 주소좌표 없음</x:v>
      </x:c>
      <x:c r="U6" s="1" t="str">
        <x:v>kakao: : 가정,생활 &gt; 생활용품점 | sangga: 소매: 기념품점</x:v>
      </x:c>
      <x:c r="V6" s="1" t="str"/>
      <x:c r="W6" s="11" t="str"/>
      <x:c r="X6" s="14" t="str">
        <x:v>ee8087a6be8ca55ae5fe5840d50a45d9</x:v>
      </x:c>
      <x:c r="Y6" s="1" t="str">
        <x:v>동×배타적 목적층 1건 이상</x:v>
      </x:c>
      <x:c r="Z6" s="1" t="str">
        <x:v>광복동 / 소품·기념품 쇼핑</x:v>
      </x:c>
    </x:row>
    <x:row r="7" ht="15" hidden="0" customHeight="1">
      <x:c r="A7" s="1" t="str">
        <x:v>무작위_분류완료</x:v>
      </x:c>
      <x:c r="B7" s="1" t="str">
        <x:v>광복동</x:v>
      </x:c>
      <x:c r="C7" s="1" t="str">
        <x:v>식사</x:v>
      </x:c>
      <x:c r="D7" s="1" t="str">
        <x:v>밖</x:v>
      </x:c>
      <x:c r="E7" s="1" t="str">
        <x:v>classified</x:v>
      </x:c>
      <x:c r="F7" s="1" t="str">
        <x:v>정성식당</x:v>
      </x:c>
      <x:c r="G7" s="1" t="str">
        <x:v>부산 중구 광복중앙로24번길 9</x:v>
      </x:c>
      <x:c r="H7" s="11" t="str"/>
      <x:c r="I7" s="11" t="str"/>
      <x:c r="J7" s="11" t="str"/>
      <x:c r="K7" s="11" t="str"/>
      <x:c r="L7" s="1" t="str">
        <x:v>복수 연결근거 점검</x:v>
      </x:c>
      <x:c r="M7" s="1" t="str">
        <x:v>정성식당</x:v>
      </x:c>
      <x:c r="N7" s="1" t="str"/>
      <x:c r="O7" s="1" t="str">
        <x:v>음식점 &gt; 한식</x:v>
      </x:c>
      <x:c r="P7" s="12"/>
      <x:c r="Q7" s="13"/>
      <x:c r="R7" s="8"/>
      <x:c r="S7" s="1" t="str">
        <x:v>ok</x:v>
      </x:c>
      <x:c r="T7" s="1" t="str">
        <x:v>기존 캐시 · 주소좌표 없음</x:v>
      </x:c>
      <x:c r="U7" s="1" t="str">
        <x:v>kakao: 음식점: 음식점 &gt; 한식 | sangga: 음식: 백반/한정식</x:v>
      </x:c>
      <x:c r="V7" s="1" t="str"/>
      <x:c r="W7" s="11" t="str"/>
      <x:c r="X7" s="14" t="str">
        <x:v>89b745ebec9527f7a4c64ab8bc64055f</x:v>
      </x:c>
      <x:c r="Y7" s="1" t="str">
        <x:v>동×배타적 목적층 1건 이상</x:v>
      </x:c>
      <x:c r="Z7" s="1" t="str">
        <x:v>광복동 / 식사</x:v>
      </x:c>
    </x:row>
    <x:row r="8" ht="15" hidden="0" customHeight="1">
      <x:c r="A8" s="1" t="str">
        <x:v>무작위_분류완료</x:v>
      </x:c>
      <x:c r="B8" s="1" t="str">
        <x:v>광복동</x:v>
      </x:c>
      <x:c r="C8" s="1" t="str">
        <x:v>식사|간식·먹거리</x:v>
      </x:c>
      <x:c r="D8" s="1" t="str">
        <x:v>밖</x:v>
      </x:c>
      <x:c r="E8" s="1" t="str">
        <x:v>classified</x:v>
      </x:c>
      <x:c r="F8" s="1" t="str">
        <x:v>대박분식</x:v>
      </x:c>
      <x:c r="G8" s="1" t="str">
        <x:v>부산 중구 광복중앙로 32-1</x:v>
      </x:c>
      <x:c r="H8" s="11" t="str"/>
      <x:c r="I8" s="11" t="str"/>
      <x:c r="J8" s="11" t="str"/>
      <x:c r="K8" s="11" t="str"/>
      <x:c r="L8" s="1" t="str">
        <x:v>상호 표기 차이</x:v>
      </x:c>
      <x:c r="M8" s="1" t="str">
        <x:v>대박식당</x:v>
      </x:c>
      <x:c r="N8" s="1" t="str"/>
      <x:c r="O8" s="1" t="str">
        <x:v>음식점 &gt; 한식</x:v>
      </x:c>
      <x:c r="P8" s="12"/>
      <x:c r="Q8" s="13"/>
      <x:c r="R8" s="8"/>
      <x:c r="S8" s="1" t="str">
        <x:v>ok</x:v>
      </x:c>
      <x:c r="T8" s="1" t="str">
        <x:v>기존 캐시 · 주소좌표 없음</x:v>
      </x:c>
      <x:c r="U8" s="1" t="str">
        <x:v>sangga: 음식: 김밥/만두/분식</x:v>
      </x:c>
      <x:c r="V8" s="1" t="str"/>
      <x:c r="W8" s="11" t="str"/>
      <x:c r="X8" s="14" t="str">
        <x:v>4348b5395be14d9267e85db72daf8bf8</x:v>
      </x:c>
      <x:c r="Y8" s="1" t="str">
        <x:v>동×배타적 목적층 1건 이상</x:v>
      </x:c>
      <x:c r="Z8" s="1" t="str">
        <x:v>광복동 / 식사|간식·먹거리</x:v>
      </x:c>
    </x:row>
    <x:row r="9" ht="15" hidden="0" customHeight="1">
      <x:c r="A9" s="1" t="str">
        <x:v>무작위_분류완료</x:v>
      </x:c>
      <x:c r="B9" s="1" t="str">
        <x:v>광복동</x:v>
      </x:c>
      <x:c r="C9" s="1" t="str">
        <x:v>커피·디저트</x:v>
      </x:c>
      <x:c r="D9" s="1" t="str">
        <x:v>밖</x:v>
      </x:c>
      <x:c r="E9" s="1" t="str">
        <x:v>classified</x:v>
      </x:c>
      <x:c r="F9" s="1" t="str">
        <x:v>신창동커피</x:v>
      </x:c>
      <x:c r="G9" s="1" t="str">
        <x:v>부산 중구 광복로49번길 15</x:v>
      </x:c>
      <x:c r="H9" s="11" t="str"/>
      <x:c r="I9" s="11" t="str"/>
      <x:c r="J9" s="11" t="str"/>
      <x:c r="K9" s="11" t="str"/>
      <x:c r="L9" s="1" t="str">
        <x:v>복수 연결근거 점검</x:v>
      </x:c>
      <x:c r="M9" s="1" t="str">
        <x:v>신창동커피</x:v>
      </x:c>
      <x:c r="N9" s="1" t="str"/>
      <x:c r="O9" s="1" t="str">
        <x:v>음식점 &gt; 카페</x:v>
      </x:c>
      <x:c r="P9" s="12"/>
      <x:c r="Q9" s="13"/>
      <x:c r="R9" s="8"/>
      <x:c r="S9" s="1" t="str">
        <x:v>ok</x:v>
      </x:c>
      <x:c r="T9" s="1" t="str">
        <x:v>기존 캐시 · 주소좌표 없음</x:v>
      </x:c>
      <x:c r="U9" s="1" t="str">
        <x:v>kakao: 카페: 음식점 &gt; 카페 | sangga: 음식: 카페</x:v>
      </x:c>
      <x:c r="V9" s="1" t="str"/>
      <x:c r="W9" s="11" t="str"/>
      <x:c r="X9" s="14" t="str">
        <x:v>26df13e5f84e936c66c2fd4120e6cd8a</x:v>
      </x:c>
      <x:c r="Y9" s="1" t="str">
        <x:v>동×배타적 목적층 1건 이상</x:v>
      </x:c>
      <x:c r="Z9" s="1" t="str">
        <x:v>광복동 / 커피·디저트</x:v>
      </x:c>
    </x:row>
    <x:row r="10" ht="15" hidden="0" customHeight="1">
      <x:c r="A10" s="1" t="str">
        <x:v>무작위_분류완료</x:v>
      </x:c>
      <x:c r="B10" s="1" t="str">
        <x:v>남포동</x:v>
      </x:c>
      <x:c r="C10" s="1" t="str">
        <x:v>간식·먹거리</x:v>
      </x:c>
      <x:c r="D10" s="1" t="str">
        <x:v>안</x:v>
      </x:c>
      <x:c r="E10" s="1" t="str">
        <x:v>classified</x:v>
      </x:c>
      <x:c r="F10" s="1" t="str">
        <x:v>원더풀꽈배기 자갈치점</x:v>
      </x:c>
      <x:c r="G10" s="1" t="str">
        <x:v>부산 중구 자갈치로 33</x:v>
      </x:c>
      <x:c r="H10" s="11" t="str"/>
      <x:c r="I10" s="11" t="str"/>
      <x:c r="J10" s="11" t="str"/>
      <x:c r="K10" s="11" t="str"/>
      <x:c r="L10" s="1" t="str">
        <x:v>복수 연결근거 점검</x:v>
      </x:c>
      <x:c r="M10" s="1" t="str">
        <x:v>원더풀꽈배기 자갈치점</x:v>
      </x:c>
      <x:c r="N10" s="1" t="str"/>
      <x:c r="O10" s="1" t="str">
        <x:v>음식점 &gt; 간식 &gt; 제과,베이커리</x:v>
      </x:c>
      <x:c r="P10" s="12"/>
      <x:c r="Q10" s="13"/>
      <x:c r="R10" s="8"/>
      <x:c r="S10" s="1" t="str">
        <x:v>ok</x:v>
      </x:c>
      <x:c r="T10" s="1" t="str">
        <x:v>기존 캐시 · 주소좌표 없음</x:v>
      </x:c>
      <x:c r="U10" s="1" t="str">
        <x:v>kakao: 음식점: 음식점 &gt; 간식 &gt; 제과,베이커리 | sangga: 음식: 빵/도넛</x:v>
      </x:c>
      <x:c r="V10" s="1" t="str"/>
      <x:c r="W10" s="11" t="str"/>
      <x:c r="X10" s="14" t="str">
        <x:v>6f2afeedc64fe27f882c50ab180fb430</x:v>
      </x:c>
      <x:c r="Y10" s="1" t="str">
        <x:v>동×배타적 목적층 1건 이상</x:v>
      </x:c>
      <x:c r="Z10" s="1" t="str">
        <x:v>남포동 / 간식·먹거리</x:v>
      </x:c>
    </x:row>
    <x:row r="11" ht="15" hidden="0" customHeight="1">
      <x:c r="A11" s="1" t="str">
        <x:v>무작위_분류완료</x:v>
      </x:c>
      <x:c r="B11" s="1" t="str">
        <x:v>남포동</x:v>
      </x:c>
      <x:c r="C11" s="1" t="str">
        <x:v>식사</x:v>
      </x:c>
      <x:c r="D11" s="1" t="str">
        <x:v>밖</x:v>
      </x:c>
      <x:c r="E11" s="1" t="str">
        <x:v>classified</x:v>
      </x:c>
      <x:c r="F11" s="1" t="str">
        <x:v>울산청해횟집, 울산횟집</x:v>
      </x:c>
      <x:c r="G11" s="1" t="str">
        <x:v>부산 중구 자갈치해안로 55-1</x:v>
      </x:c>
      <x:c r="H11" s="11" t="str"/>
      <x:c r="I11" s="11" t="str"/>
      <x:c r="J11" s="11" t="str"/>
      <x:c r="K11" s="11" t="str"/>
      <x:c r="L11" s="1" t="str">
        <x:v>상호 표기 차이</x:v>
      </x:c>
      <x:c r="M11" s="1" t="str">
        <x:v>울산청해횟집</x:v>
      </x:c>
      <x:c r="N11" s="1" t="str"/>
      <x:c r="O11" s="1" t="str">
        <x:v>음식점 &gt; 한식 &gt; 해물,생선 &gt; 회</x:v>
      </x:c>
      <x:c r="P11" s="12"/>
      <x:c r="Q11" s="13"/>
      <x:c r="R11" s="8"/>
      <x:c r="S11" s="1" t="str">
        <x:v>ok</x:v>
      </x:c>
      <x:c r="T11" s="1" t="str">
        <x:v>기존 캐시 · 주소좌표 없음</x:v>
      </x:c>
      <x:c r="U11" s="1" t="str">
        <x:v>sangga: 음식: 횟집</x:v>
      </x:c>
      <x:c r="V11" s="1" t="str"/>
      <x:c r="W11" s="11" t="str"/>
      <x:c r="X11" s="14" t="str">
        <x:v>4a5892c96f69068911ed469c9d48f226</x:v>
      </x:c>
      <x:c r="Y11" s="1" t="str">
        <x:v>동×배타적 목적층 1건 이상</x:v>
      </x:c>
      <x:c r="Z11" s="1" t="str">
        <x:v>남포동 / 식사</x:v>
      </x:c>
    </x:row>
    <x:row r="12" ht="15" hidden="0" customHeight="1">
      <x:c r="A12" s="1" t="str">
        <x:v>무작위_분류완료</x:v>
      </x:c>
      <x:c r="B12" s="1" t="str">
        <x:v>남포동</x:v>
      </x:c>
      <x:c r="C12" s="1" t="str">
        <x:v>식사|간식·먹거리</x:v>
      </x:c>
      <x:c r="D12" s="1" t="str">
        <x:v>밖</x:v>
      </x:c>
      <x:c r="E12" s="1" t="str">
        <x:v>classified</x:v>
      </x:c>
      <x:c r="F12" s="1" t="str">
        <x:v>두끼부산남포동점</x:v>
      </x:c>
      <x:c r="G12" s="1" t="str">
        <x:v>부산 중구 비프광장로 30</x:v>
      </x:c>
      <x:c r="H12" s="11" t="str"/>
      <x:c r="I12" s="11" t="str"/>
      <x:c r="J12" s="11" t="str"/>
      <x:c r="K12" s="11" t="str"/>
      <x:c r="L12" s="1" t="str"/>
      <x:c r="M12" s="1" t="str"/>
      <x:c r="N12" s="1" t="str"/>
      <x:c r="O12" s="1" t="str"/>
      <x:c r="P12" s="12"/>
      <x:c r="Q12" s="13"/>
      <x:c r="R12" s="8"/>
      <x:c r="S12" s="1" t="str">
        <x:v>no_match</x:v>
      </x:c>
      <x:c r="T12" s="1" t="str">
        <x:v>기존 캐시 · 주소좌표 없음</x:v>
      </x:c>
      <x:c r="U12" s="1" t="str">
        <x:v>sangga: 음식: 김밥/만두/분식</x:v>
      </x:c>
      <x:c r="V12" s="1" t="str"/>
      <x:c r="W12" s="11" t="str"/>
      <x:c r="X12" s="14" t="str">
        <x:v>6ff14761ed283d1bfb3c1f06765f6a12</x:v>
      </x:c>
      <x:c r="Y12" s="1" t="str">
        <x:v>동×배타적 목적층 1건 이상</x:v>
      </x:c>
      <x:c r="Z12" s="1" t="str">
        <x:v>남포동 / 식사|간식·먹거리</x:v>
      </x:c>
    </x:row>
    <x:row r="13" ht="15" hidden="0" customHeight="1">
      <x:c r="A13" s="1" t="str">
        <x:v>무작위_분류완료</x:v>
      </x:c>
      <x:c r="B13" s="1" t="str">
        <x:v>남포동</x:v>
      </x:c>
      <x:c r="C13" s="1" t="str">
        <x:v>커피·디저트</x:v>
      </x:c>
      <x:c r="D13" s="1" t="str">
        <x:v>밖</x:v>
      </x:c>
      <x:c r="E13" s="1" t="str">
        <x:v>classified</x:v>
      </x:c>
      <x:c r="F13" s="1" t="str">
        <x:v>길CAFE</x:v>
      </x:c>
      <x:c r="G13" s="1" t="str">
        <x:v>부산 중구 구덕로 73</x:v>
      </x:c>
      <x:c r="H13" s="11" t="str"/>
      <x:c r="I13" s="11" t="str"/>
      <x:c r="J13" s="11" t="str"/>
      <x:c r="K13" s="11" t="str"/>
      <x:c r="L13" s="1" t="str"/>
      <x:c r="M13" s="1" t="str"/>
      <x:c r="N13" s="1" t="str"/>
      <x:c r="O13" s="1" t="str"/>
      <x:c r="P13" s="12"/>
      <x:c r="Q13" s="13"/>
      <x:c r="R13" s="8"/>
      <x:c r="S13" s="1" t="str">
        <x:v>no_match</x:v>
      </x:c>
      <x:c r="T13" s="1" t="str">
        <x:v>기존 캐시 · 주소좌표 없음</x:v>
      </x:c>
      <x:c r="U13" s="1" t="str">
        <x:v>sangga: 음식: 카페</x:v>
      </x:c>
      <x:c r="V13" s="1" t="str"/>
      <x:c r="W13" s="11" t="str"/>
      <x:c r="X13" s="14" t="str">
        <x:v>04e47fb0b0865d1a5a9d688ab2ca02b6</x:v>
      </x:c>
      <x:c r="Y13" s="1" t="str">
        <x:v>동×배타적 목적층 1건 이상</x:v>
      </x:c>
      <x:c r="Z13" s="1" t="str">
        <x:v>남포동 / 커피·디저트</x:v>
      </x:c>
    </x:row>
    <x:row r="14" ht="15" hidden="0" customHeight="1">
      <x:c r="A14" s="1" t="str">
        <x:v>무작위_분류완료</x:v>
      </x:c>
      <x:c r="B14" s="1" t="str">
        <x:v>대청동</x:v>
      </x:c>
      <x:c r="C14" s="1" t="str">
        <x:v>간식·먹거리</x:v>
      </x:c>
      <x:c r="D14" s="1" t="str">
        <x:v>밖</x:v>
      </x:c>
      <x:c r="E14" s="1" t="str">
        <x:v>classified</x:v>
      </x:c>
      <x:c r="F14" s="1" t="str">
        <x:v>파리바게뜨(부산대청점)</x:v>
      </x:c>
      <x:c r="G14" s="1" t="str">
        <x:v>부산 중구 대청로 89-2</x:v>
      </x:c>
      <x:c r="H14" s="11" t="str"/>
      <x:c r="I14" s="11" t="str"/>
      <x:c r="J14" s="11" t="str"/>
      <x:c r="K14" s="11" t="str"/>
      <x:c r="L14" s="1" t="str">
        <x:v>복수 연결근거 점검</x:v>
      </x:c>
      <x:c r="M14" s="1" t="str">
        <x:v>파리바게뜨 부산대청점</x:v>
      </x:c>
      <x:c r="N14" s="1" t="str"/>
      <x:c r="O14" s="1" t="str">
        <x:v>음식점 &gt; 간식 &gt; 제과,베이커리 &gt; 파리바게뜨</x:v>
      </x:c>
      <x:c r="P14" s="12"/>
      <x:c r="Q14" s="13"/>
      <x:c r="R14" s="8"/>
      <x:c r="S14" s="1" t="str">
        <x:v>ok</x:v>
      </x:c>
      <x:c r="T14" s="1" t="str">
        <x:v>기존 캐시 · 주소좌표 없음</x:v>
      </x:c>
      <x:c r="U14" s="1" t="str">
        <x:v>kakao: 음식점: 음식점 &gt; 간식 &gt; 제과,베이커리 &gt; 파리바게뜨 | sangga: 음식: 빵/도넛</x:v>
      </x:c>
      <x:c r="V14" s="1" t="str"/>
      <x:c r="W14" s="11" t="str"/>
      <x:c r="X14" s="14" t="str">
        <x:v>f3ff2e30652f1d1adfd371f9476a603f</x:v>
      </x:c>
      <x:c r="Y14" s="1" t="str">
        <x:v>동×배타적 목적층 1건 이상</x:v>
      </x:c>
      <x:c r="Z14" s="1" t="str">
        <x:v>대청동 / 간식·먹거리</x:v>
      </x:c>
    </x:row>
    <x:row r="15" ht="15" hidden="0" customHeight="1">
      <x:c r="A15" s="1" t="str">
        <x:v>무작위_분류완료</x:v>
      </x:c>
      <x:c r="B15" s="1" t="str">
        <x:v>대청동</x:v>
      </x:c>
      <x:c r="C15" s="1" t="str">
        <x:v>식사</x:v>
      </x:c>
      <x:c r="D15" s="1" t="str">
        <x:v>밖</x:v>
      </x:c>
      <x:c r="E15" s="1" t="str">
        <x:v>classified</x:v>
      </x:c>
      <x:c r="F15" s="1" t="str">
        <x:v>처갓집양념치킨 영주점</x:v>
      </x:c>
      <x:c r="G15" s="1" t="str">
        <x:v>부산 중구 중구로 64</x:v>
      </x:c>
      <x:c r="H15" s="11" t="str"/>
      <x:c r="I15" s="11" t="str"/>
      <x:c r="J15" s="11" t="str"/>
      <x:c r="K15" s="11" t="str"/>
      <x:c r="L15" s="1" t="str">
        <x:v>복수 연결근거 점검</x:v>
      </x:c>
      <x:c r="M15" s="1" t="str">
        <x:v>처갓집양념치킨 영주점</x:v>
      </x:c>
      <x:c r="N15" s="1" t="str"/>
      <x:c r="O15" s="1" t="str">
        <x:v>음식점 &gt; 치킨 &gt; 처갓집양념치킨</x:v>
      </x:c>
      <x:c r="P15" s="12"/>
      <x:c r="Q15" s="13"/>
      <x:c r="R15" s="8"/>
      <x:c r="S15" s="1" t="str">
        <x:v>ok</x:v>
      </x:c>
      <x:c r="T15" s="1" t="str">
        <x:v>기존 캐시 · 주소좌표 없음</x:v>
      </x:c>
      <x:c r="U15" s="1" t="str">
        <x:v>kakao: 음식점: 음식점 &gt; 치킨 &gt; 처갓집양념치킨 | sangga: 음식: 치킨</x:v>
      </x:c>
      <x:c r="V15" s="1" t="str"/>
      <x:c r="W15" s="11" t="str"/>
      <x:c r="X15" s="14" t="str">
        <x:v>231cc0c96fa7200d31045872fa00f0b0</x:v>
      </x:c>
      <x:c r="Y15" s="1" t="str">
        <x:v>동×배타적 목적층 1건 이상</x:v>
      </x:c>
      <x:c r="Z15" s="1" t="str">
        <x:v>대청동 / 식사</x:v>
      </x:c>
    </x:row>
    <x:row r="16" ht="15" hidden="0" customHeight="1">
      <x:c r="A16" s="1" t="str">
        <x:v>무작위_분류완료</x:v>
      </x:c>
      <x:c r="B16" s="1" t="str">
        <x:v>대청동</x:v>
      </x:c>
      <x:c r="C16" s="1" t="str">
        <x:v>식사|간식·먹거리</x:v>
      </x:c>
      <x:c r="D16" s="1" t="str">
        <x:v>밖</x:v>
      </x:c>
      <x:c r="E16" s="1" t="str">
        <x:v>classified</x:v>
      </x:c>
      <x:c r="F16" s="1" t="str">
        <x:v>할매손 충무김밥</x:v>
      </x:c>
      <x:c r="G16" s="1" t="str">
        <x:v>부산 중구 대청로126번길 4</x:v>
      </x:c>
      <x:c r="H16" s="11" t="str"/>
      <x:c r="I16" s="11" t="str"/>
      <x:c r="J16" s="11" t="str"/>
      <x:c r="K16" s="11" t="str"/>
      <x:c r="L16" s="1" t="str">
        <x:v>복수 연결근거 점검</x:v>
      </x:c>
      <x:c r="M16" s="1" t="str">
        <x:v>할매손충무김밥</x:v>
      </x:c>
      <x:c r="N16" s="1" t="str"/>
      <x:c r="O16" s="1" t="str">
        <x:v>음식점 &gt; 분식</x:v>
      </x:c>
      <x:c r="P16" s="12"/>
      <x:c r="Q16" s="13"/>
      <x:c r="R16" s="8"/>
      <x:c r="S16" s="1" t="str">
        <x:v>ok</x:v>
      </x:c>
      <x:c r="T16" s="1" t="str">
        <x:v>기존 캐시 · 주소좌표 없음</x:v>
      </x:c>
      <x:c r="U16" s="1" t="str">
        <x:v>kakao: 음식점: 음식점 &gt; 분식 | sangga: 음식: 김밥/만두/분식</x:v>
      </x:c>
      <x:c r="V16" s="1" t="str"/>
      <x:c r="W16" s="11" t="str"/>
      <x:c r="X16" s="14" t="str">
        <x:v>0f64ad379f93ebe38c92cda4de13a2d5</x:v>
      </x:c>
      <x:c r="Y16" s="1" t="str">
        <x:v>동×배타적 목적층 1건 이상</x:v>
      </x:c>
      <x:c r="Z16" s="1" t="str">
        <x:v>대청동 / 식사|간식·먹거리</x:v>
      </x:c>
    </x:row>
    <x:row r="17" ht="15" hidden="0" customHeight="1">
      <x:c r="A17" s="1" t="str">
        <x:v>무작위_분류완료</x:v>
      </x:c>
      <x:c r="B17" s="1" t="str">
        <x:v>대청동</x:v>
      </x:c>
      <x:c r="C17" s="1" t="str">
        <x:v>커피·디저트</x:v>
      </x:c>
      <x:c r="D17" s="1" t="str">
        <x:v>밖</x:v>
      </x:c>
      <x:c r="E17" s="1" t="str">
        <x:v>classified</x:v>
      </x:c>
      <x:c r="F17" s="1" t="str">
        <x:v>그린듯 전통차와 커피</x:v>
      </x:c>
      <x:c r="G17" s="1" t="str">
        <x:v>부산 중구 대청로 90</x:v>
      </x:c>
      <x:c r="H17" s="11" t="str"/>
      <x:c r="I17" s="11" t="str"/>
      <x:c r="J17" s="11" t="str"/>
      <x:c r="K17" s="11" t="str"/>
      <x:c r="L17" s="1" t="str"/>
      <x:c r="M17" s="1" t="str"/>
      <x:c r="N17" s="1" t="str"/>
      <x:c r="O17" s="1" t="str"/>
      <x:c r="P17" s="12"/>
      <x:c r="Q17" s="13"/>
      <x:c r="R17" s="8"/>
      <x:c r="S17" s="1" t="str">
        <x:v>no_match</x:v>
      </x:c>
      <x:c r="T17" s="1" t="str">
        <x:v>기존 캐시 · 주소좌표 없음</x:v>
      </x:c>
      <x:c r="U17" s="1" t="str">
        <x:v>sangga: 음식: 카페</x:v>
      </x:c>
      <x:c r="V17" s="1" t="str"/>
      <x:c r="W17" s="11" t="str"/>
      <x:c r="X17" s="14" t="str">
        <x:v>6f554f681430b6fb0d40b3c4839e29bc</x:v>
      </x:c>
      <x:c r="Y17" s="1" t="str">
        <x:v>동×배타적 목적층 1건 이상</x:v>
      </x:c>
      <x:c r="Z17" s="1" t="str">
        <x:v>대청동 / 커피·디저트</x:v>
      </x:c>
    </x:row>
    <x:row r="18" ht="15" hidden="0" customHeight="1">
      <x:c r="A18" s="1" t="str">
        <x:v>무작위_분류완료</x:v>
      </x:c>
      <x:c r="B18" s="1" t="str">
        <x:v>부평동</x:v>
      </x:c>
      <x:c r="C18" s="1" t="str">
        <x:v>간식·먹거리</x:v>
      </x:c>
      <x:c r="D18" s="1" t="str">
        <x:v>밖</x:v>
      </x:c>
      <x:c r="E18" s="1" t="str">
        <x:v>classified</x:v>
      </x:c>
      <x:c r="F18" s="1" t="str">
        <x:v>빠삭빠삭</x:v>
      </x:c>
      <x:c r="G18" s="1" t="str">
        <x:v>부산 중구 부평1길 39</x:v>
      </x:c>
      <x:c r="H18" s="11" t="str"/>
      <x:c r="I18" s="11" t="str"/>
      <x:c r="J18" s="11" t="str"/>
      <x:c r="K18" s="11" t="str"/>
      <x:c r="L18" s="1" t="str">
        <x:v>복수 연결근거 점검</x:v>
      </x:c>
      <x:c r="M18" s="1" t="str">
        <x:v>빠삭빠삭</x:v>
      </x:c>
      <x:c r="N18" s="1" t="str"/>
      <x:c r="O18" s="1" t="str">
        <x:v>음식점 &gt; 간식 &gt; 닭강정</x:v>
      </x:c>
      <x:c r="P18" s="12"/>
      <x:c r="Q18" s="13"/>
      <x:c r="R18" s="8"/>
      <x:c r="S18" s="1" t="str">
        <x:v>ok</x:v>
      </x:c>
      <x:c r="T18" s="1" t="str">
        <x:v>기존 캐시 · 주소좌표 없음</x:v>
      </x:c>
      <x:c r="U18" s="1" t="str">
        <x:v>kakao: 음식점: 음식점 &gt; 간식 &gt; 닭강정 | sangga: 음식: 빵/도넛</x:v>
      </x:c>
      <x:c r="V18" s="1" t="str"/>
      <x:c r="W18" s="11" t="str"/>
      <x:c r="X18" s="14" t="str">
        <x:v>3a570022475204c64237f0758d3c7c7b</x:v>
      </x:c>
      <x:c r="Y18" s="1" t="str">
        <x:v>동×배타적 목적층 1건 이상</x:v>
      </x:c>
      <x:c r="Z18" s="1" t="str">
        <x:v>부평동 / 간식·먹거리</x:v>
      </x:c>
    </x:row>
    <x:row r="19" ht="15" hidden="0" customHeight="1">
      <x:c r="A19" s="1" t="str">
        <x:v>무작위_분류완료</x:v>
      </x:c>
      <x:c r="B19" s="1" t="str">
        <x:v>부평동</x:v>
      </x:c>
      <x:c r="C19" s="1" t="str">
        <x:v>소품·기념품 쇼핑</x:v>
      </x:c>
      <x:c r="D19" s="1" t="str">
        <x:v>밖</x:v>
      </x:c>
      <x:c r="E19" s="1" t="str">
        <x:v>classified</x:v>
      </x:c>
      <x:c r="F19" s="1" t="str">
        <x:v>온교회문구액자사</x:v>
      </x:c>
      <x:c r="G19" s="1" t="str">
        <x:v>부산 중구 중구로 지하 31</x:v>
      </x:c>
      <x:c r="H19" s="11" t="str"/>
      <x:c r="I19" s="11" t="str"/>
      <x:c r="J19" s="11" t="str"/>
      <x:c r="K19" s="11" t="str"/>
      <x:c r="L19" s="1" t="str"/>
      <x:c r="M19" s="1" t="str"/>
      <x:c r="N19" s="1" t="str"/>
      <x:c r="O19" s="1" t="str"/>
      <x:c r="P19" s="12"/>
      <x:c r="Q19" s="13"/>
      <x:c r="R19" s="8"/>
      <x:c r="S19" s="1" t="str">
        <x:v>no_match</x:v>
      </x:c>
      <x:c r="T19" s="1" t="str">
        <x:v>기존 캐시 · 주소좌표 없음</x:v>
      </x:c>
      <x:c r="U19" s="1" t="str">
        <x:v>sangga: 소매: 기념품점</x:v>
      </x:c>
      <x:c r="V19" s="1" t="str"/>
      <x:c r="W19" s="11" t="str"/>
      <x:c r="X19" s="14" t="str">
        <x:v>839b1df08f67c867531d7443e86d76e1</x:v>
      </x:c>
      <x:c r="Y19" s="1" t="str">
        <x:v>동×배타적 목적층 1건 이상</x:v>
      </x:c>
      <x:c r="Z19" s="1" t="str">
        <x:v>부평동 / 소품·기념품 쇼핑</x:v>
      </x:c>
    </x:row>
    <x:row r="20" ht="15" hidden="0" customHeight="1">
      <x:c r="A20" s="1" t="str">
        <x:v>무작위_분류완료</x:v>
      </x:c>
      <x:c r="B20" s="1" t="str">
        <x:v>부평동</x:v>
      </x:c>
      <x:c r="C20" s="1" t="str">
        <x:v>식사</x:v>
      </x:c>
      <x:c r="D20" s="1" t="str">
        <x:v>밖</x:v>
      </x:c>
      <x:c r="E20" s="1" t="str">
        <x:v>classified</x:v>
      </x:c>
      <x:c r="F20" s="1" t="str">
        <x:v>스시호우</x:v>
      </x:c>
      <x:c r="G20" s="1" t="str">
        <x:v>부산 중구 광복로16번길 11</x:v>
      </x:c>
      <x:c r="H20" s="11" t="str"/>
      <x:c r="I20" s="11" t="str"/>
      <x:c r="J20" s="11" t="str"/>
      <x:c r="K20" s="11" t="str"/>
      <x:c r="L20" s="1" t="str">
        <x:v>복수 연결근거 점검</x:v>
      </x:c>
      <x:c r="M20" s="1" t="str">
        <x:v>스시호우</x:v>
      </x:c>
      <x:c r="N20" s="1" t="str"/>
      <x:c r="O20" s="1" t="str">
        <x:v>음식점 &gt; 일식 &gt; 초밥,롤</x:v>
      </x:c>
      <x:c r="P20" s="12"/>
      <x:c r="Q20" s="13"/>
      <x:c r="R20" s="8"/>
      <x:c r="S20" s="1" t="str">
        <x:v>ok</x:v>
      </x:c>
      <x:c r="T20" s="1" t="str">
        <x:v>기존 캐시 · 주소좌표 없음</x:v>
      </x:c>
      <x:c r="U20" s="1" t="str">
        <x:v>kakao: 음식점: 음식점 &gt; 일식 &gt; 초밥,롤 | sangga: 음식: 일식 회/초밥</x:v>
      </x:c>
      <x:c r="V20" s="1" t="str"/>
      <x:c r="W20" s="11" t="str"/>
      <x:c r="X20" s="14" t="str">
        <x:v>9f881776fd4f31b693d2f71cb78dff31</x:v>
      </x:c>
      <x:c r="Y20" s="1" t="str">
        <x:v>동×배타적 목적층 1건 이상</x:v>
      </x:c>
      <x:c r="Z20" s="1" t="str">
        <x:v>부평동 / 식사</x:v>
      </x:c>
    </x:row>
    <x:row r="21" ht="15" hidden="0" customHeight="1">
      <x:c r="A21" s="1" t="str">
        <x:v>무작위_분류완료</x:v>
      </x:c>
      <x:c r="B21" s="1" t="str">
        <x:v>부평동</x:v>
      </x:c>
      <x:c r="C21" s="1" t="str">
        <x:v>식사|간식·먹거리</x:v>
      </x:c>
      <x:c r="D21" s="1" t="str">
        <x:v>밖</x:v>
      </x:c>
      <x:c r="E21" s="1" t="str">
        <x:v>classified</x:v>
      </x:c>
      <x:c r="F21" s="1" t="str">
        <x:v>양가손만두 부평점 직영점</x:v>
      </x:c>
      <x:c r="G21" s="1" t="str">
        <x:v>부산 중구 부평1길 48</x:v>
      </x:c>
      <x:c r="H21" s="11" t="str"/>
      <x:c r="I21" s="11" t="str"/>
      <x:c r="J21" s="11" t="str"/>
      <x:c r="K21" s="11" t="str"/>
      <x:c r="L21" s="1" t="str"/>
      <x:c r="M21" s="1" t="str"/>
      <x:c r="N21" s="1" t="str"/>
      <x:c r="O21" s="1" t="str"/>
      <x:c r="P21" s="12"/>
      <x:c r="Q21" s="13"/>
      <x:c r="R21" s="8"/>
      <x:c r="S21" s="1" t="str">
        <x:v>no_match</x:v>
      </x:c>
      <x:c r="T21" s="1" t="str">
        <x:v>기존 캐시 · 주소좌표 없음</x:v>
      </x:c>
      <x:c r="U21" s="1" t="str">
        <x:v>sangga: 음식: 김밥/만두/분식</x:v>
      </x:c>
      <x:c r="V21" s="1" t="str"/>
      <x:c r="W21" s="11" t="str"/>
      <x:c r="X21" s="14" t="str">
        <x:v>e94bdae017ae9f2aa515f19c8aae68ef</x:v>
      </x:c>
      <x:c r="Y21" s="1" t="str">
        <x:v>동×배타적 목적층 1건 이상</x:v>
      </x:c>
      <x:c r="Z21" s="1" t="str">
        <x:v>부평동 / 식사|간식·먹거리</x:v>
      </x:c>
    </x:row>
    <x:row r="22" ht="15" hidden="0" customHeight="1">
      <x:c r="A22" s="1" t="str">
        <x:v>무작위_분류완료</x:v>
      </x:c>
      <x:c r="B22" s="1" t="str">
        <x:v>부평동</x:v>
      </x:c>
      <x:c r="C22" s="1" t="str">
        <x:v>커피·디저트</x:v>
      </x:c>
      <x:c r="D22" s="1" t="str">
        <x:v>밖</x:v>
      </x:c>
      <x:c r="E22" s="1" t="str">
        <x:v>classified</x:v>
      </x:c>
      <x:c r="F22" s="1" t="str">
        <x:v>하루당근</x:v>
      </x:c>
      <x:c r="G22" s="1" t="str">
        <x:v>부산 중구 흑교로 16</x:v>
      </x:c>
      <x:c r="H22" s="11" t="str"/>
      <x:c r="I22" s="11" t="str"/>
      <x:c r="J22" s="11" t="str"/>
      <x:c r="K22" s="11" t="str"/>
      <x:c r="L22" s="1" t="str"/>
      <x:c r="M22" s="1" t="str"/>
      <x:c r="N22" s="1" t="str"/>
      <x:c r="O22" s="1" t="str"/>
      <x:c r="P22" s="12"/>
      <x:c r="Q22" s="13"/>
      <x:c r="R22" s="8"/>
      <x:c r="S22" s="1" t="str">
        <x:v>no_match</x:v>
      </x:c>
      <x:c r="T22" s="1" t="str">
        <x:v>기존 캐시 · 주소좌표 없음</x:v>
      </x:c>
      <x:c r="U22" s="1" t="str">
        <x:v>sangga: 음식: 카페</x:v>
      </x:c>
      <x:c r="V22" s="1" t="str"/>
      <x:c r="W22" s="11" t="str"/>
      <x:c r="X22" s="14" t="str">
        <x:v>e6487dc40d1a6ba9de0df2865ad36172</x:v>
      </x:c>
      <x:c r="Y22" s="1" t="str">
        <x:v>동×배타적 목적층 1건 이상</x:v>
      </x:c>
      <x:c r="Z22" s="1" t="str">
        <x:v>부평동 / 커피·디저트</x:v>
      </x:c>
    </x:row>
    <x:row r="23" ht="15" hidden="0" customHeight="1">
      <x:c r="A23" s="1" t="str">
        <x:v>무작위_분류완료</x:v>
      </x:c>
      <x:c r="B23" s="1" t="str">
        <x:v>남포동</x:v>
      </x:c>
      <x:c r="C23" s="1" t="str">
        <x:v>식사|간식·먹거리</x:v>
      </x:c>
      <x:c r="D23" s="1" t="str">
        <x:v>밖</x:v>
      </x:c>
      <x:c r="E23" s="1" t="str">
        <x:v>classified</x:v>
      </x:c>
      <x:c r="F23" s="1" t="str">
        <x:v>더블에이치,범표어묵남포본점</x:v>
      </x:c>
      <x:c r="G23" s="1" t="str">
        <x:v>부산 중구 자갈치해안로 73-3</x:v>
      </x:c>
      <x:c r="H23" s="11" t="str"/>
      <x:c r="I23" s="11" t="str"/>
      <x:c r="J23" s="11" t="str"/>
      <x:c r="K23" s="11" t="str"/>
      <x:c r="L23" s="1" t="str"/>
      <x:c r="M23" s="1" t="str"/>
      <x:c r="N23" s="1" t="str"/>
      <x:c r="O23" s="1" t="str"/>
      <x:c r="P23" s="12"/>
      <x:c r="Q23" s="13"/>
      <x:c r="R23" s="8"/>
      <x:c r="S23" s="1" t="str">
        <x:v>no_match</x:v>
      </x:c>
      <x:c r="T23" s="1" t="str">
        <x:v>기존 캐시 · 주소좌표 없음</x:v>
      </x:c>
      <x:c r="U23" s="1" t="str">
        <x:v>sangga: 음식: 김밥/만두/분식</x:v>
      </x:c>
      <x:c r="V23" s="1" t="str"/>
      <x:c r="W23" s="11" t="str"/>
      <x:c r="X23" s="14" t="str">
        <x:v>e767b24864dcb6d592e0f19dd818e85d</x:v>
      </x:c>
      <x:c r="Y23" s="1" t="str">
        <x:v>동×목적층 최소표본 이후 잔여 무작위 추가</x:v>
      </x:c>
      <x:c r="Z23" s="1" t="str">
        <x:v>남포동 / 식사|간식·먹거리</x:v>
      </x:c>
    </x:row>
    <x:row r="24" ht="15" hidden="0" customHeight="1">
      <x:c r="A24" s="1" t="str">
        <x:v>무작위_분류완료</x:v>
      </x:c>
      <x:c r="B24" s="1" t="str">
        <x:v>남포동</x:v>
      </x:c>
      <x:c r="C24" s="1" t="str">
        <x:v>식사</x:v>
      </x:c>
      <x:c r="D24" s="1" t="str">
        <x:v>안</x:v>
      </x:c>
      <x:c r="E24" s="1" t="str">
        <x:v>classified</x:v>
      </x:c>
      <x:c r="F24" s="1" t="str">
        <x:v>남포동횟집</x:v>
      </x:c>
      <x:c r="G24" s="1" t="str">
        <x:v>부산 중구  자갈치로47번길</x:v>
      </x:c>
      <x:c r="H24" s="11" t="str"/>
      <x:c r="I24" s="11" t="str"/>
      <x:c r="J24" s="11" t="str"/>
      <x:c r="K24" s="11" t="str"/>
      <x:c r="L24" s="1" t="str">
        <x:v>복수 연결근거 점검</x:v>
      </x:c>
      <x:c r="M24" s="1" t="str">
        <x:v>남포동횟집</x:v>
      </x:c>
      <x:c r="N24" s="1" t="str"/>
      <x:c r="O24" s="1" t="str">
        <x:v>음식점 &gt; 한식 &gt; 해물,생선 &gt; 회</x:v>
      </x:c>
      <x:c r="P24" s="12"/>
      <x:c r="Q24" s="13"/>
      <x:c r="R24" s="8"/>
      <x:c r="S24" s="1" t="str">
        <x:v>ok</x:v>
      </x:c>
      <x:c r="T24" s="1" t="str">
        <x:v>기존 캐시 · 주소좌표 없음</x:v>
      </x:c>
      <x:c r="U24" s="1" t="str">
        <x:v>kakao: 음식점: 음식점 &gt; 한식 &gt; 해물,생선 &gt; 회 | sangga: 음식: 횟집</x:v>
      </x:c>
      <x:c r="V24" s="1" t="str"/>
      <x:c r="W24" s="11" t="str"/>
      <x:c r="X24" s="14" t="str">
        <x:v>d8ae42f4f9ec691f5fc0e01228529b91</x:v>
      </x:c>
      <x:c r="Y24" s="1" t="str">
        <x:v>동×목적층 최소표본 이후 잔여 무작위 추가</x:v>
      </x:c>
      <x:c r="Z24" s="1" t="str">
        <x:v>남포동 / 식사</x:v>
      </x:c>
    </x:row>
    <x:row r="25" ht="15" hidden="0" customHeight="1">
      <x:c r="A25" s="1" t="str">
        <x:v>무작위_대상외</x:v>
      </x:c>
      <x:c r="B25" s="1" t="str">
        <x:v>남포동</x:v>
      </x:c>
      <x:c r="C25" s="1" t="str">
        <x:v>분류없음</x:v>
      </x:c>
      <x:c r="D25" s="1" t="str">
        <x:v>밖</x:v>
      </x:c>
      <x:c r="E25" s="1" t="str">
        <x:v>outside_scope</x:v>
      </x:c>
      <x:c r="F25" s="1" t="str">
        <x:v>사당건축토목학원</x:v>
      </x:c>
      <x:c r="G25" s="1" t="str">
        <x:v>부산 중구 구덕로 90</x:v>
      </x:c>
      <x:c r="H25" s="11" t="str"/>
      <x:c r="I25" s="11" t="str"/>
      <x:c r="J25" s="11" t="str"/>
      <x:c r="K25" s="11" t="str"/>
      <x:c r="L25" s="1" t="str">
        <x:v>상호 표기 차이</x:v>
      </x:c>
      <x:c r="M25" s="1" t="str">
        <x:v>사당건축토목학원 부산점</x:v>
      </x:c>
      <x:c r="N25" s="1" t="str"/>
      <x:c r="O25" s="1" t="str">
        <x:v>교육,학문 &gt; 학원</x:v>
      </x:c>
      <x:c r="P25" s="12"/>
      <x:c r="Q25" s="13"/>
      <x:c r="R25" s="8"/>
      <x:c r="S25" s="1" t="str">
        <x:v>ok</x:v>
      </x:c>
      <x:c r="T25" s="1" t="str">
        <x:v>기존 캐시 · 주소좌표 없음</x:v>
      </x:c>
      <x:c r="U25" s="1" t="str">
        <x:v>sangga: 교육: 기타 기술/직업 훈련학원</x:v>
      </x:c>
      <x:c r="V25" s="1" t="str"/>
      <x:c r="W25" s="11" t="str"/>
      <x:c r="X25" s="14" t="str">
        <x:v>1e2e7f88bb5acc04e3e5b3543ccf0655</x:v>
      </x:c>
      <x:c r="Y25" s="1" t="str">
        <x:v>동별 대상외 업종 1건 이상</x:v>
      </x:c>
      <x:c r="Z25" s="1" t="str">
        <x:v>남포동 / </x:v>
      </x:c>
    </x:row>
    <x:row r="26" ht="15" hidden="0" customHeight="1">
      <x:c r="A26" s="1" t="str">
        <x:v>무작위_대상외</x:v>
      </x:c>
      <x:c r="B26" s="1" t="str">
        <x:v>광복동</x:v>
      </x:c>
      <x:c r="C26" s="1" t="str">
        <x:v>분류없음</x:v>
      </x:c>
      <x:c r="D26" s="1" t="str">
        <x:v>밖</x:v>
      </x:c>
      <x:c r="E26" s="1" t="str">
        <x:v>outside_scope</x:v>
      </x:c>
      <x:c r="F26" s="1" t="str">
        <x:v>개성시대</x:v>
      </x:c>
      <x:c r="G26" s="1" t="str">
        <x:v>부산 중구 광복로39번길</x:v>
      </x:c>
      <x:c r="H26" s="11" t="str"/>
      <x:c r="I26" s="11" t="str"/>
      <x:c r="J26" s="11" t="str"/>
      <x:c r="K26" s="11" t="str"/>
      <x:c r="L26" s="1" t="str">
        <x:v>복수 연결근거 점검</x:v>
      </x:c>
      <x:c r="M26" s="1" t="str">
        <x:v>개성시대</x:v>
      </x:c>
      <x:c r="N26" s="1" t="str"/>
      <x:c r="O26" s="1" t="str">
        <x:v>가정,생활 &gt; 패션 &gt; 의류판매</x:v>
      </x:c>
      <x:c r="P26" s="12"/>
      <x:c r="Q26" s="13"/>
      <x:c r="R26" s="8"/>
      <x:c r="S26" s="1" t="str">
        <x:v>ok</x:v>
      </x:c>
      <x:c r="T26" s="1" t="str">
        <x:v>기존 캐시 · 주소좌표 없음</x:v>
      </x:c>
      <x:c r="U26" s="1" t="str">
        <x:v>kakao: : 가정,생활 &gt; 패션 &gt; 의류판매 | sangga: 소매: 남성 의류 소매업</x:v>
      </x:c>
      <x:c r="V26" s="1" t="str"/>
      <x:c r="W26" s="11" t="str"/>
      <x:c r="X26" s="14" t="str">
        <x:v>6ad9b4aac05c21807e79ea007b20e23c</x:v>
      </x:c>
      <x:c r="Y26" s="1" t="str">
        <x:v>동별 대상외 업종 1건 이상</x:v>
      </x:c>
      <x:c r="Z26" s="1" t="str">
        <x:v>광복동 / </x:v>
      </x:c>
    </x:row>
    <x:row r="27" ht="15" hidden="0" customHeight="1">
      <x:c r="A27" s="1" t="str">
        <x:v>무작위_대상외</x:v>
      </x:c>
      <x:c r="B27" s="1" t="str">
        <x:v>부평동</x:v>
      </x:c>
      <x:c r="C27" s="1" t="str">
        <x:v>분류없음</x:v>
      </x:c>
      <x:c r="D27" s="1" t="str">
        <x:v>밖</x:v>
      </x:c>
      <x:c r="E27" s="1" t="str">
        <x:v>outside_scope</x:v>
      </x:c>
      <x:c r="F27" s="1" t="str">
        <x:v>진아란제리</x:v>
      </x:c>
      <x:c r="G27" s="1" t="str">
        <x:v>부산 중구 중구로47번길 10-1</x:v>
      </x:c>
      <x:c r="H27" s="11" t="str"/>
      <x:c r="I27" s="11" t="str"/>
      <x:c r="J27" s="11" t="str"/>
      <x:c r="K27" s="11" t="str"/>
      <x:c r="L27" s="1" t="str"/>
      <x:c r="M27" s="1" t="str"/>
      <x:c r="N27" s="1" t="str"/>
      <x:c r="O27" s="1" t="str"/>
      <x:c r="P27" s="12"/>
      <x:c r="Q27" s="13"/>
      <x:c r="R27" s="8"/>
      <x:c r="S27" s="1" t="str">
        <x:v>no_match</x:v>
      </x:c>
      <x:c r="T27" s="1" t="str">
        <x:v>기존 캐시 · 주소좌표 없음</x:v>
      </x:c>
      <x:c r="U27" s="1" t="str">
        <x:v>sangga: 소매: 기타 의류 소매업</x:v>
      </x:c>
      <x:c r="V27" s="1" t="str"/>
      <x:c r="W27" s="11" t="str"/>
      <x:c r="X27" s="14" t="str">
        <x:v>ea626e594a04c3aa655748526d83d56e</x:v>
      </x:c>
      <x:c r="Y27" s="1" t="str">
        <x:v>동별 대상외 업종 1건 이상</x:v>
      </x:c>
      <x:c r="Z27" s="1" t="str">
        <x:v>부평동 / </x:v>
      </x:c>
    </x:row>
    <x:row r="28" ht="15" hidden="0" customHeight="1">
      <x:c r="A28" s="1" t="str">
        <x:v>무작위_대상외</x:v>
      </x:c>
      <x:c r="B28" s="1" t="str">
        <x:v>대청동</x:v>
      </x:c>
      <x:c r="C28" s="1" t="str">
        <x:v>분류없음</x:v>
      </x:c>
      <x:c r="D28" s="1" t="str">
        <x:v>밖</x:v>
      </x:c>
      <x:c r="E28" s="1" t="str">
        <x:v>outside_scope</x:v>
      </x:c>
      <x:c r="F28" s="1" t="str">
        <x:v>해마주차장</x:v>
      </x:c>
      <x:c r="G28" s="1" t="str">
        <x:v>부산 중구 광복중앙로 36</x:v>
      </x:c>
      <x:c r="H28" s="11" t="str"/>
      <x:c r="I28" s="11" t="str"/>
      <x:c r="J28" s="11" t="str"/>
      <x:c r="K28" s="11" t="str"/>
      <x:c r="L28" s="1" t="str"/>
      <x:c r="M28" s="1" t="str">
        <x:v>해마주차장</x:v>
      </x:c>
      <x:c r="N28" s="1" t="str"/>
      <x:c r="O28" s="1" t="str">
        <x:v>교통,수송 &gt; 교통시설 &gt; 주차장</x:v>
      </x:c>
      <x:c r="P28" s="12"/>
      <x:c r="Q28" s="13"/>
      <x:c r="R28" s="8"/>
      <x:c r="S28" s="1" t="str">
        <x:v>ok</x:v>
      </x:c>
      <x:c r="T28" s="1" t="str">
        <x:v>기존 캐시 · 주소좌표 없음</x:v>
      </x:c>
      <x:c r="U28" s="1" t="str">
        <x:v>kakao: 주차장: 교통,수송 &gt; 교통시설 &gt; 주차장</x:v>
      </x:c>
      <x:c r="V28" s="1" t="str"/>
      <x:c r="W28" s="11" t="str"/>
      <x:c r="X28" s="14" t="str">
        <x:v>3b3950d642350d0239d7af2b2aa71698</x:v>
      </x:c>
      <x:c r="Y28" s="1" t="str">
        <x:v>동별 대상외 업종 1건 이상</x:v>
      </x:c>
      <x:c r="Z28" s="1" t="str">
        <x:v>대청동 / </x:v>
      </x:c>
    </x:row>
    <x:row r="29" ht="15" hidden="0" customHeight="1">
      <x:c r="A29" s="1" t="str">
        <x:v>무작위_대상외</x:v>
      </x:c>
      <x:c r="B29" s="1" t="str">
        <x:v>남포동</x:v>
      </x:c>
      <x:c r="C29" s="1" t="str">
        <x:v>분류없음</x:v>
      </x:c>
      <x:c r="D29" s="1" t="str">
        <x:v>밖</x:v>
      </x:c>
      <x:c r="E29" s="1" t="str">
        <x:v>outside_scope</x:v>
      </x:c>
      <x:c r="F29" s="1" t="str">
        <x:v>대림쇼핑</x:v>
      </x:c>
      <x:c r="G29" s="1" t="str">
        <x:v>부산 중구 구덕로 73</x:v>
      </x:c>
      <x:c r="H29" s="11" t="str"/>
      <x:c r="I29" s="11" t="str"/>
      <x:c r="J29" s="11" t="str"/>
      <x:c r="K29" s="11" t="str"/>
      <x:c r="L29" s="1" t="str">
        <x:v>복수 연결근거 점검</x:v>
      </x:c>
      <x:c r="M29" s="1" t="str">
        <x:v>대림쇼핑</x:v>
      </x:c>
      <x:c r="N29" s="1" t="str"/>
      <x:c r="O29" s="1" t="str">
        <x:v>가정,생활 &gt; 패션 &gt; 의류판매</x:v>
      </x:c>
      <x:c r="P29" s="12"/>
      <x:c r="Q29" s="13"/>
      <x:c r="R29" s="8"/>
      <x:c r="S29" s="1" t="str">
        <x:v>ok</x:v>
      </x:c>
      <x:c r="T29" s="1" t="str">
        <x:v>기존 캐시 · 주소좌표 없음</x:v>
      </x:c>
      <x:c r="U29" s="1" t="str">
        <x:v>kakao: : 가정,생활 &gt; 패션 &gt; 의류판매 | sangga: 소매: 남성 의류 소매업</x:v>
      </x:c>
      <x:c r="V29" s="1" t="str"/>
      <x:c r="W29" s="11" t="str"/>
      <x:c r="X29" s="14" t="str">
        <x:v>ae8d2d392482b3dfbafeb94cb6d8546b</x:v>
      </x:c>
      <x:c r="Y29" s="1" t="str">
        <x:v>동별 최소표본 이후 잔여 무작위 추가</x:v>
      </x:c>
      <x:c r="Z29" s="1" t="str">
        <x:v>남포동 / </x:v>
      </x:c>
    </x:row>
    <x:row r="30" ht="15" hidden="0" customHeight="1">
      <x:c r="A30" s="1" t="str">
        <x:v>무작위_대상외</x:v>
      </x:c>
      <x:c r="B30" s="1" t="str">
        <x:v>남포동</x:v>
      </x:c>
      <x:c r="C30" s="1" t="str">
        <x:v>분류없음</x:v>
      </x:c>
      <x:c r="D30" s="1" t="str">
        <x:v>밖</x:v>
      </x:c>
      <x:c r="E30" s="1" t="str">
        <x:v>outside_scope</x:v>
      </x:c>
      <x:c r="F30" s="1" t="str">
        <x:v>대림상회</x:v>
      </x:c>
      <x:c r="G30" s="1" t="str">
        <x:v>부산 중구 용미길10번길 9</x:v>
      </x:c>
      <x:c r="H30" s="11" t="str"/>
      <x:c r="I30" s="11" t="str"/>
      <x:c r="J30" s="11" t="str"/>
      <x:c r="K30" s="11" t="str"/>
      <x:c r="L30" s="1" t="str"/>
      <x:c r="M30" s="1" t="str">
        <x:v>대림상회</x:v>
      </x:c>
      <x:c r="N30" s="1" t="str"/>
      <x:c r="O30" s="1" t="str">
        <x:v>가정,생활 &gt; 식품판매 &gt; 수산물판매</x:v>
      </x:c>
      <x:c r="P30" s="12"/>
      <x:c r="Q30" s="13"/>
      <x:c r="R30" s="8"/>
      <x:c r="S30" s="1" t="str">
        <x:v>ok</x:v>
      </x:c>
      <x:c r="T30" s="1" t="str">
        <x:v>기존 캐시 · 주소좌표 없음</x:v>
      </x:c>
      <x:c r="U30" s="1" t="str">
        <x:v>kakao: : 가정,생활 &gt; 식품판매 &gt; 수산물판매</x:v>
      </x:c>
      <x:c r="V30" s="1" t="str"/>
      <x:c r="W30" s="11" t="str"/>
      <x:c r="X30" s="14" t="str">
        <x:v>2cc711d9538486d2c04df7173b1d626e</x:v>
      </x:c>
      <x:c r="Y30" s="1" t="str">
        <x:v>동별 최소표본 이후 잔여 무작위 추가</x:v>
      </x:c>
      <x:c r="Z30" s="1" t="str">
        <x:v>남포동 / </x:v>
      </x:c>
    </x:row>
    <x:row r="31" ht="15" hidden="0" customHeight="1">
      <x:c r="A31" s="1" t="str">
        <x:v>무작위_대상외</x:v>
      </x:c>
      <x:c r="B31" s="1" t="str">
        <x:v>남포동</x:v>
      </x:c>
      <x:c r="C31" s="1" t="str">
        <x:v>분류없음</x:v>
      </x:c>
      <x:c r="D31" s="1" t="str">
        <x:v>밖</x:v>
      </x:c>
      <x:c r="E31" s="1" t="str">
        <x:v>outside_scope</x:v>
      </x:c>
      <x:c r="F31" s="1" t="str">
        <x:v>미쁨</x:v>
      </x:c>
      <x:c r="G31" s="1" t="str">
        <x:v>부산 중구 구덕로 13</x:v>
      </x:c>
      <x:c r="H31" s="11" t="str"/>
      <x:c r="I31" s="11" t="str"/>
      <x:c r="J31" s="11" t="str"/>
      <x:c r="K31" s="11" t="str"/>
      <x:c r="L31" s="1" t="str">
        <x:v>복수 연결근거 점검</x:v>
      </x:c>
      <x:c r="M31" s="1" t="str">
        <x:v>미쁨</x:v>
      </x:c>
      <x:c r="N31" s="1" t="str"/>
      <x:c r="O31" s="1" t="str">
        <x:v>가정,생활 &gt; 미용</x:v>
      </x:c>
      <x:c r="P31" s="12"/>
      <x:c r="Q31" s="13"/>
      <x:c r="R31" s="8"/>
      <x:c r="S31" s="1" t="str">
        <x:v>ok</x:v>
      </x:c>
      <x:c r="T31" s="1" t="str">
        <x:v>기존 캐시 · 주소좌표 없음</x:v>
      </x:c>
      <x:c r="U31" s="1" t="str">
        <x:v>kakao: : 가정,생활 &gt; 미용 | sangga: 수리·개인: 네일숍</x:v>
      </x:c>
      <x:c r="V31" s="1" t="str"/>
      <x:c r="W31" s="11" t="str"/>
      <x:c r="X31" s="14" t="str">
        <x:v>4e17f709596030d8ec0a70bf0e4a1fc4</x:v>
      </x:c>
      <x:c r="Y31" s="1" t="str">
        <x:v>동별 최소표본 이후 잔여 무작위 추가</x:v>
      </x:c>
      <x:c r="Z31" s="1" t="str">
        <x:v>남포동 / </x:v>
      </x:c>
    </x:row>
    <x:row r="32" ht="15" hidden="0" customHeight="1">
      <x:c r="A32" s="1" t="str">
        <x:v>무작위_대상외</x:v>
      </x:c>
      <x:c r="B32" s="1" t="str">
        <x:v>남포동</x:v>
      </x:c>
      <x:c r="C32" s="1" t="str">
        <x:v>분류없음</x:v>
      </x:c>
      <x:c r="D32" s="1" t="str">
        <x:v>밖</x:v>
      </x:c>
      <x:c r="E32" s="1" t="str">
        <x:v>outside_scope</x:v>
      </x:c>
      <x:c r="F32" s="1" t="str">
        <x:v>늘푸른약국</x:v>
      </x:c>
      <x:c r="G32" s="1" t="str">
        <x:v>부산 중구 자갈치로37번길 4</x:v>
      </x:c>
      <x:c r="H32" s="11" t="str"/>
      <x:c r="I32" s="11" t="str"/>
      <x:c r="J32" s="11" t="str"/>
      <x:c r="K32" s="11" t="str"/>
      <x:c r="L32" s="1" t="str">
        <x:v>복수 연결근거 점검</x:v>
      </x:c>
      <x:c r="M32" s="1" t="str">
        <x:v>늘푸른약국</x:v>
      </x:c>
      <x:c r="N32" s="1" t="str"/>
      <x:c r="O32" s="1" t="str">
        <x:v>의료,건강 &gt; 약국</x:v>
      </x:c>
      <x:c r="P32" s="12"/>
      <x:c r="Q32" s="13"/>
      <x:c r="R32" s="8"/>
      <x:c r="S32" s="1" t="str">
        <x:v>ok</x:v>
      </x:c>
      <x:c r="T32" s="1" t="str">
        <x:v>기존 캐시 · 주소좌표 없음</x:v>
      </x:c>
      <x:c r="U32" s="1" t="str">
        <x:v>kakao: 약국: 의료,건강 &gt; 약국 | sangga: 소매: 약국</x:v>
      </x:c>
      <x:c r="V32" s="1" t="str"/>
      <x:c r="W32" s="11" t="str"/>
      <x:c r="X32" s="14" t="str">
        <x:v>c98a897988bf21d3eba80b16027dca05</x:v>
      </x:c>
      <x:c r="Y32" s="1" t="str">
        <x:v>동별 최소표본 이후 잔여 무작위 추가</x:v>
      </x:c>
      <x:c r="Z32" s="1" t="str">
        <x:v>남포동 / </x:v>
      </x:c>
    </x:row>
    <x:row r="33" ht="15" hidden="0" customHeight="1">
      <x:c r="A33" s="1" t="str">
        <x:v>무작위_대상외</x:v>
      </x:c>
      <x:c r="B33" s="1" t="str">
        <x:v>대청동</x:v>
      </x:c>
      <x:c r="C33" s="1" t="str">
        <x:v>분류없음</x:v>
      </x:c>
      <x:c r="D33" s="1" t="str">
        <x:v>밖</x:v>
      </x:c>
      <x:c r="E33" s="1" t="str">
        <x:v>outside_scope</x:v>
      </x:c>
      <x:c r="F33" s="1" t="str">
        <x:v>세븐일레븐 부산대청플러스점</x:v>
      </x:c>
      <x:c r="G33" s="1" t="str">
        <x:v>부산 중구 대청로 117</x:v>
      </x:c>
      <x:c r="H33" s="11" t="str"/>
      <x:c r="I33" s="11" t="str"/>
      <x:c r="J33" s="11" t="str"/>
      <x:c r="K33" s="11" t="str"/>
      <x:c r="L33" s="1" t="str">
        <x:v>복수 연결근거 점검</x:v>
      </x:c>
      <x:c r="M33" s="1" t="str">
        <x:v>세븐일레븐 부산대청플러스점</x:v>
      </x:c>
      <x:c r="N33" s="1" t="str"/>
      <x:c r="O33" s="1" t="str">
        <x:v>가정,생활 &gt; 편의점 &gt; 세븐일레븐</x:v>
      </x:c>
      <x:c r="P33" s="12"/>
      <x:c r="Q33" s="13"/>
      <x:c r="R33" s="8"/>
      <x:c r="S33" s="1" t="str">
        <x:v>ok</x:v>
      </x:c>
      <x:c r="T33" s="1" t="str">
        <x:v>기존 캐시 · 주소좌표 없음</x:v>
      </x:c>
      <x:c r="U33" s="1" t="str">
        <x:v>kakao: 편의점: 가정,생활 &gt; 편의점 &gt; 세븐일레븐 | sangga: 소매: 편의점</x:v>
      </x:c>
      <x:c r="V33" s="1" t="str"/>
      <x:c r="W33" s="11" t="str"/>
      <x:c r="X33" s="14" t="str">
        <x:v>9d24fa0a085ac2c66d27eb11ab597f69</x:v>
      </x:c>
      <x:c r="Y33" s="1" t="str">
        <x:v>동별 최소표본 이후 잔여 무작위 추가</x:v>
      </x:c>
      <x:c r="Z33" s="1" t="str">
        <x:v>대청동 / </x:v>
      </x:c>
    </x:row>
    <x:row r="34" ht="15" hidden="0" customHeight="1">
      <x:c r="A34" s="1" t="str">
        <x:v>무작위_대상외</x:v>
      </x:c>
      <x:c r="B34" s="1" t="str">
        <x:v>남포동</x:v>
      </x:c>
      <x:c r="C34" s="1" t="str">
        <x:v>분류없음</x:v>
      </x:c>
      <x:c r="D34" s="1" t="str">
        <x:v>밖</x:v>
      </x:c>
      <x:c r="E34" s="1" t="str">
        <x:v>outside_scope</x:v>
      </x:c>
      <x:c r="F34" s="1" t="str">
        <x:v>남포중국식품점</x:v>
      </x:c>
      <x:c r="G34" s="1" t="str">
        <x:v>부산 중구 태종로 12-1</x:v>
      </x:c>
      <x:c r="H34" s="11" t="str"/>
      <x:c r="I34" s="11" t="str"/>
      <x:c r="J34" s="11" t="str"/>
      <x:c r="K34" s="11" t="str"/>
      <x:c r="L34" s="1" t="str">
        <x:v>복수 연결근거 점검</x:v>
      </x:c>
      <x:c r="M34" s="1" t="str">
        <x:v>남포중국식품점</x:v>
      </x:c>
      <x:c r="N34" s="1" t="str"/>
      <x:c r="O34" s="1" t="str">
        <x:v>가정,생활 &gt; 식품판매</x:v>
      </x:c>
      <x:c r="P34" s="12"/>
      <x:c r="Q34" s="13"/>
      <x:c r="R34" s="8"/>
      <x:c r="S34" s="1" t="str">
        <x:v>ok</x:v>
      </x:c>
      <x:c r="T34" s="1" t="str">
        <x:v>기존 캐시 · 주소좌표 없음</x:v>
      </x:c>
      <x:c r="U34" s="1" t="str">
        <x:v>kakao: : 가정,생활 &gt; 식품판매 | sangga: 소매: 슈퍼마켓</x:v>
      </x:c>
      <x:c r="V34" s="1" t="str"/>
      <x:c r="W34" s="11" t="str"/>
      <x:c r="X34" s="14" t="str">
        <x:v>022e6b838f90b4df3e52de68978f2e07</x:v>
      </x:c>
      <x:c r="Y34" s="1" t="str">
        <x:v>동별 최소표본 이후 잔여 무작위 추가</x:v>
      </x:c>
      <x:c r="Z34" s="1" t="str">
        <x:v>남포동 / </x:v>
      </x:c>
    </x:row>
  </x:sheetData>
  <x:dataValidations count="2">
    <x:dataValidation type="list" sqref="H5:H34">
      <x:formula1>"같음,다름,판단불가"</x:formula1>
    </x:dataValidation>
    <x:dataValidation type="list" sqref="I5:I34">
      <x:formula1>"맞음,틀림,판단불가"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3f10ee821c42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20" hidden="0" customWidth="1"/>
    <x:col min="4" max="4" width="9" hidden="0" customWidth="1"/>
    <x:col min="5" max="5" width="20" hidden="0" customWidth="1"/>
    <x:col min="6" max="6" width="30" hidden="0" customWidth="1"/>
    <x:col min="7" max="7" width="48" hidden="0" customWidth="1"/>
    <x:col min="8" max="8" width="20" hidden="0" customWidth="1"/>
    <x:col min="9" max="9" width="20" hidden="0" customWidth="1"/>
    <x:col min="10" max="10" width="20" hidden="0" customWidth="1"/>
    <x:col min="11" max="11" width="44" hidden="0" customWidth="1"/>
    <x:col min="12" max="12" width="65" hidden="0" customWidth="1"/>
    <x:col min="13" max="13" width="42" hidden="0" customWidth="1"/>
    <x:col min="14" max="14" width="42" hidden="0" customWidth="1"/>
    <x:col min="15" max="15" width="5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42" hidden="0" customWidth="1"/>
    <x:col min="21" max="21" width="90" hidden="0" customWidth="1"/>
    <x:col min="22" max="22" width="65" hidden="0" customWidth="1"/>
    <x:col min="23" max="23" width="65" hidden="0" customWidth="1"/>
    <x:col min="24" max="24" width="38" hidden="0" customWidth="1"/>
    <x:col min="25" max="25" width="48" hidden="0" customWidth="1"/>
    <x:col min="26" max="26" width="48" hidden="0" customWidth="1"/>
  </x:cols>
  <x:sheetData>
    <x:row r="1" ht="25" customHeight="1">
      <x:c r="A1" s="1"/>
      <x:c r="B1" s="1"/>
      <x:c r="C1" s="1"/>
      <x:c r="D1" s="1"/>
      <x:c r="E1" s="1"/>
      <x:c r="F1" s="15"/>
      <x:c r="G1" s="15"/>
      <x:c r="H1" s="1"/>
      <x:c r="I1" s="1"/>
      <x:c r="J1" s="1"/>
      <x:c r="K1" s="1"/>
      <x:c r="L1" s="15"/>
      <x:c r="M1" s="15"/>
      <x:c r="N1" s="15"/>
      <x:c r="O1" s="15"/>
      <x:c r="P1" s="1"/>
      <x:c r="Q1" s="1"/>
      <x:c r="R1" s="1"/>
      <x:c r="S1" s="1"/>
      <x:c r="T1" s="15"/>
      <x:c r="U1" s="15"/>
      <x:c r="V1" s="1"/>
      <x:c r="W1" s="1"/>
      <x:c r="X1" s="1"/>
      <x:c r="Y1" s="15"/>
      <x:c r="Z1" s="15"/>
    </x:row>
    <x:row r="2" ht="25" customHeight="1">
      <x:c r="A2" s="2" t="str">
        <x:v>위험사례 10건 · 정확도 추정 표본과 별도 해석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5" customHeight="1">
      <x:c r="A3" s="1" t="str">
        <x:v>노란 칸 입력: 동일가게 / 업종을 각각 판단하고 근거 URL·메모 기록. 검색 후보는 확정 가게가 아님.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6" customHeight="1">
      <x:c r="A4" s="5" t="str">
        <x:v>표본구분</x:v>
      </x:c>
      <x:c r="B4" s="5" t="str">
        <x:v>행정동</x:v>
      </x:c>
      <x:c r="C4" s="5" t="str">
        <x:v>현재업종</x:v>
      </x:c>
      <x:c r="D4" s="5" t="str">
        <x:v>시장구분</x:v>
      </x:c>
      <x:c r="E4" s="5" t="str">
        <x:v>현재상태</x:v>
      </x:c>
      <x:c r="F4" s="5" t="str">
        <x:v>원본상호</x:v>
      </x:c>
      <x:c r="G4" s="5" t="str">
        <x:v>원본주소</x:v>
      </x:c>
      <x:c r="H4" s="5" t="str">
        <x:v>동일가게판정</x:v>
      </x:c>
      <x:c r="I4" s="5" t="str">
        <x:v>업종판정</x:v>
      </x:c>
      <x:c r="J4" s="5" t="str">
        <x:v>검토자</x:v>
      </x:c>
      <x:c r="K4" s="5" t="str">
        <x:v>검토메모</x:v>
      </x:c>
      <x:c r="L4" s="5" t="str">
        <x:v>위험표시</x:v>
      </x:c>
      <x:c r="M4" s="5" t="str">
        <x:v>후보상호</x:v>
      </x:c>
      <x:c r="N4" s="5" t="str">
        <x:v>후보주소</x:v>
      </x:c>
      <x:c r="O4" s="5" t="str">
        <x:v>후보업종</x:v>
      </x:c>
      <x:c r="P4" s="5" t="str">
        <x:v>후보거리_m</x:v>
      </x:c>
      <x:c r="Q4" s="5" t="str">
        <x:v>후보유사도</x:v>
      </x:c>
      <x:c r="R4" s="5" t="str">
        <x:v>검색반경_m</x:v>
      </x:c>
      <x:c r="S4" s="5" t="str">
        <x:v>검색결과상태</x:v>
      </x:c>
      <x:c r="T4" s="5" t="str">
        <x:v>후보해석</x:v>
      </x:c>
      <x:c r="U4" s="5" t="str">
        <x:v>분류근거_보조자료</x:v>
      </x:c>
      <x:c r="V4" s="5" t="str">
        <x:v>확인링크</x:v>
      </x:c>
      <x:c r="W4" s="5" t="str">
        <x:v>검토근거URL</x:v>
      </x:c>
      <x:c r="X4" s="5" t="str">
        <x:v>가맹점ID</x:v>
      </x:c>
      <x:c r="Y4" s="5" t="str">
        <x:v>추출사유</x:v>
      </x:c>
      <x:c r="Z4" s="5" t="str">
        <x:v>층</x:v>
      </x:c>
    </x:row>
    <x:row r="5" ht="15" hidden="0" customHeight="1">
      <x:c r="A5" s="1" t="str">
        <x:v>위험사례</x:v>
      </x:c>
      <x:c r="B5" s="1" t="str">
        <x:v>남포동</x:v>
      </x:c>
      <x:c r="C5" s="1" t="str">
        <x:v>커피·디저트</x:v>
      </x:c>
      <x:c r="D5" s="1" t="str">
        <x:v>밖</x:v>
      </x:c>
      <x:c r="E5" s="1" t="str">
        <x:v>classified</x:v>
      </x:c>
      <x:c r="F5" s="1" t="str">
        <x:v>컴포즈커피 남포비프(BIFF)점</x:v>
      </x:c>
      <x:c r="G5" s="1" t="str">
        <x:v>부산 중구 비프광장로 8</x:v>
      </x:c>
      <x:c r="H5" s="11" t="str"/>
      <x:c r="I5" s="11" t="str"/>
      <x:c r="J5" s="11" t="str"/>
      <x:c r="K5" s="11" t="str"/>
      <x:c r="L5" s="1" t="str">
        <x:v>500m 검색 결과 / 상호 유사도 0.9 미만 / 상호 표기 차이 / 검색 기록은 동일가게 검토 상태</x:v>
      </x:c>
      <x:c r="M5" s="1" t="str">
        <x:v>컴포즈커피 BIFF거리점</x:v>
      </x:c>
      <x:c r="N5" s="1" t="str">
        <x:v>부산 중구 비프광장로 8</x:v>
      </x:c>
      <x:c r="O5" s="1" t="str">
        <x:v>음식점 &gt; 카페 &gt; 커피전문점 &gt; 컴포즈커피</x:v>
      </x:c>
      <x:c r="P5" s="12" t="n">
        <x:v>2.8</x:v>
      </x:c>
      <x:c r="Q5" s="13" t="n">
        <x:v>0.7692</x:v>
      </x:c>
      <x:c r="R5" s="8" t="n">
        <x:v>500</x:v>
      </x:c>
      <x:c r="S5" s="1" t="str">
        <x:v>review</x:v>
      </x:c>
      <x:c r="T5" s="1" t="str">
        <x:v>기존 연결 ID에 해당하는 검색 기록</x:v>
      </x:c>
      <x:c r="U5" s="1" t="str">
        <x:v>음식점 &gt; 카페 &gt; 커피전문점 &gt; 컴포즈커피</x:v>
      </x:c>
      <x:c r="V5" s="1" t="str">
        <x:v>https://bizno.net/article/1594400378</x:v>
      </x:c>
      <x:c r="W5" s="11" t="str"/>
      <x:c r="X5" s="14" t="str">
        <x:v>6d4ce940a66367ea24e320f2d53b6757</x:v>
      </x:c>
      <x:c r="Y5" s="1" t="str">
        <x:v>500m 검색 결과</x:v>
      </x:c>
      <x:c r="Z5" s="1" t="str">
        <x:v>남포동 / 커피·디저트</x:v>
      </x:c>
    </x:row>
    <x:row r="6" ht="15" hidden="0" customHeight="1">
      <x:c r="A6" s="1" t="str">
        <x:v>위험사례</x:v>
      </x:c>
      <x:c r="B6" s="1" t="str">
        <x:v>광복동</x:v>
      </x:c>
      <x:c r="C6" s="1" t="str">
        <x:v>분류없음</x:v>
      </x:c>
      <x:c r="D6" s="1" t="str">
        <x:v>밖</x:v>
      </x:c>
      <x:c r="E6" s="1" t="str">
        <x:v>outside_scope</x:v>
      </x:c>
      <x:c r="F6" s="1" t="str">
        <x:v>오유아이 (OUI)</x:v>
      </x:c>
      <x:c r="G6" s="1" t="str">
        <x:v>부산 중구 광복로49번길 19-1</x:v>
      </x:c>
      <x:c r="H6" s="11" t="str"/>
      <x:c r="I6" s="11" t="str"/>
      <x:c r="J6" s="11" t="str"/>
      <x:c r="K6" s="11" t="str"/>
      <x:c r="L6" s="1" t="str">
        <x:v>500m 검색 결과 / 상호 유사도 0.9 미만 / 상호 표기 차이 / 검색 기록은 동일가게 검토 상태</x:v>
      </x:c>
      <x:c r="M6" s="1" t="str">
        <x:v>오유아이</x:v>
      </x:c>
      <x:c r="N6" s="1" t="str">
        <x:v>부산 중구 광복로49번길 19-1</x:v>
      </x:c>
      <x:c r="O6" s="1" t="str">
        <x:v>가정,생활 &gt; 패션 &gt; 의류판매 &gt; 여성의류</x:v>
      </x:c>
      <x:c r="P6" s="12" t="n">
        <x:v>0.1</x:v>
      </x:c>
      <x:c r="Q6" s="13" t="n">
        <x:v>0.7273</x:v>
      </x:c>
      <x:c r="R6" s="8" t="n">
        <x:v>500</x:v>
      </x:c>
      <x:c r="S6" s="1" t="str">
        <x:v>review</x:v>
      </x:c>
      <x:c r="T6" s="1" t="str">
        <x:v>기존 연결 ID에 해당하는 검색 기록</x:v>
      </x:c>
      <x:c r="U6" s="1" t="str">
        <x:v>kakao: : 가정,생활 &gt; 패션 &gt; 의류판매 &gt; 여성의류</x:v>
      </x:c>
      <x:c r="V6" s="1" t="str">
        <x:v>https://place.map.kakao.com/645854664</x:v>
      </x:c>
      <x:c r="W6" s="11" t="str"/>
      <x:c r="X6" s="14" t="str">
        <x:v>839e6b66c525004b16d82893daf0efbd</x:v>
      </x:c>
      <x:c r="Y6" s="1" t="str">
        <x:v>500m 검색 결과</x:v>
      </x:c>
      <x:c r="Z6" s="1" t="str">
        <x:v>광복동 / </x:v>
      </x:c>
    </x:row>
    <x:row r="7" ht="15" hidden="0" customHeight="1">
      <x:c r="A7" s="1" t="str">
        <x:v>위험사례</x:v>
      </x:c>
      <x:c r="B7" s="1" t="str">
        <x:v>남포동</x:v>
      </x:c>
      <x:c r="C7" s="1" t="str">
        <x:v>분류없음</x:v>
      </x:c>
      <x:c r="D7" s="1" t="str">
        <x:v>밖</x:v>
      </x:c>
      <x:c r="E7" s="1" t="str">
        <x:v>outside_scope</x:v>
      </x:c>
      <x:c r="F7" s="1" t="str">
        <x:v>푸스케어 남포점 글림네일</x:v>
      </x:c>
      <x:c r="G7" s="1" t="str">
        <x:v>부산 중구 구덕로 32-1</x:v>
      </x:c>
      <x:c r="H7" s="11" t="str"/>
      <x:c r="I7" s="11" t="str"/>
      <x:c r="J7" s="11" t="str"/>
      <x:c r="K7" s="11" t="str"/>
      <x:c r="L7" s="1" t="str">
        <x:v>최신CSV 분류근거 빈칸 / 상호 유사도 0.9 미만 / 상호 표기 차이</x:v>
      </x:c>
      <x:c r="M7" s="1" t="str">
        <x:v>푸스케어 글림네일 남포점</x:v>
      </x:c>
      <x:c r="N7" s="1" t="str"/>
      <x:c r="O7" s="1" t="str">
        <x:v>가정,생활 &gt; 미용 &gt; 네일샵</x:v>
      </x:c>
      <x:c r="P7" s="12" t="n">
        <x:v>0</x:v>
      </x:c>
      <x:c r="Q7" s="13" t="n">
        <x:v>0.7273</x:v>
      </x:c>
      <x:c r="R7" s="8"/>
      <x:c r="S7" s="1" t="str">
        <x:v>accepted</x:v>
      </x:c>
      <x:c r="T7" s="1" t="str">
        <x:v>검색 후보 · 동일 가게 미확인</x:v>
      </x:c>
      <x:c r="U7" s="1" t="str">
        <x:v>[["kakao", "", "가정,생활 &gt; 미용 &gt; 네일샵"]]</x:v>
      </x:c>
      <x:c r="V7" s="1" t="str"/>
      <x:c r="W7" s="11" t="str"/>
      <x:c r="X7" s="14" t="str">
        <x:v>08185282736f5b7ecc116e2a7b0f4a61</x:v>
      </x:c>
      <x:c r="Y7" s="1" t="str">
        <x:v>최신CSV 분류근거 빈칸</x:v>
      </x:c>
      <x:c r="Z7" s="1" t="str">
        <x:v>남포동 / </x:v>
      </x:c>
    </x:row>
    <x:row r="8" ht="15" hidden="0" customHeight="1">
      <x:c r="A8" s="1" t="str">
        <x:v>위험사례</x:v>
      </x:c>
      <x:c r="B8" s="1" t="str">
        <x:v>남포동</x:v>
      </x:c>
      <x:c r="C8" s="1" t="str">
        <x:v>식사</x:v>
      </x:c>
      <x:c r="D8" s="1" t="str">
        <x:v>밖</x:v>
      </x:c>
      <x:c r="E8" s="1" t="str">
        <x:v>classified</x:v>
      </x:c>
      <x:c r="F8" s="1" t="str">
        <x:v>명지수산</x:v>
      </x:c>
      <x:c r="G8" s="1" t="str">
        <x:v>부산광역시 중구 자갈치로47번길 2-1</x:v>
      </x:c>
      <x:c r="H8" s="11" t="str"/>
      <x:c r="I8" s="11" t="str"/>
      <x:c r="J8" s="11" t="str"/>
      <x:c r="K8" s="11" t="str"/>
      <x:c r="L8" s="1" t="str">
        <x:v>최신CSV 분류근거 빈칸 / 최신CSV 목적태그 빈칸 / 상호 표기 차이</x:v>
      </x:c>
      <x:c r="M8" s="1" t="str">
        <x:v>명지횟집</x:v>
      </x:c>
      <x:c r="N8" s="1" t="str"/>
      <x:c r="O8" s="1" t="str">
        <x:v>음식점 &gt; 한식 &gt; 해물,생선 &gt; 회</x:v>
      </x:c>
      <x:c r="P8" s="12"/>
      <x:c r="Q8" s="13"/>
      <x:c r="R8" s="8"/>
      <x:c r="S8" s="1" t="str">
        <x:v>accepted</x:v>
      </x:c>
      <x:c r="T8" s="1" t="str">
        <x:v>검색 후보 · 동일 가게 미확인</x:v>
      </x:c>
      <x:c r="U8" s="1" t="str">
        <x:v>[["kakao", "음식점", "음식점 &gt; 한식 &gt; 해물,생선 &gt; 회"]]</x:v>
      </x:c>
      <x:c r="V8" s="1" t="str"/>
      <x:c r="W8" s="11" t="str"/>
      <x:c r="X8" s="14" t="str">
        <x:v>006ffa5e35de1b46d4598baf53b9e695</x:v>
      </x:c>
      <x:c r="Y8" s="1" t="str">
        <x:v>최신CSV 분류근거 빈칸</x:v>
      </x:c>
      <x:c r="Z8" s="1" t="str">
        <x:v>남포동 / 식사</x:v>
      </x:c>
    </x:row>
    <x:row r="9" ht="15" hidden="0" customHeight="1">
      <x:c r="A9" s="1" t="str">
        <x:v>위험사례</x:v>
      </x:c>
      <x:c r="B9" s="1" t="str">
        <x:v>남포동</x:v>
      </x:c>
      <x:c r="C9" s="1" t="str">
        <x:v>식사|간식·먹거리</x:v>
      </x:c>
      <x:c r="D9" s="1" t="str">
        <x:v>밖</x:v>
      </x:c>
      <x:c r="E9" s="1" t="str">
        <x:v>classified</x:v>
      </x:c>
      <x:c r="F9" s="1" t="str">
        <x:v>(주)고래사남포점</x:v>
      </x:c>
      <x:c r="G9" s="1" t="str">
        <x:v>부산 중구 자갈치로47번길 5</x:v>
      </x:c>
      <x:c r="H9" s="11" t="str"/>
      <x:c r="I9" s="11" t="str"/>
      <x:c r="J9" s="11" t="str"/>
      <x:c r="K9" s="11" t="str"/>
      <x:c r="L9" s="1" t="str">
        <x:v>최신CSV 목적태그 빈칸 / 상호 유사도 0.9 미만 / 상호 표기 차이</x:v>
      </x:c>
      <x:c r="M9" s="1" t="str">
        <x:v>고래사어묵 부산남포점</x:v>
      </x:c>
      <x:c r="N9" s="1" t="str"/>
      <x:c r="O9" s="1" t="str">
        <x:v>음식점 &gt; 분식</x:v>
      </x:c>
      <x:c r="P9" s="12" t="n">
        <x:v>7.5</x:v>
      </x:c>
      <x:c r="Q9" s="13" t="n">
        <x:v>0.75</x:v>
      </x:c>
      <x:c r="R9" s="8"/>
      <x:c r="S9" s="1" t="str">
        <x:v>accepted</x:v>
      </x:c>
      <x:c r="T9" s="1" t="str">
        <x:v>검색 후보 · 동일 가게 미확인</x:v>
      </x:c>
      <x:c r="U9" s="1" t="str">
        <x:v>sangga: 소매: 반찬/식료품 소매업</x:v>
      </x:c>
      <x:c r="V9" s="1" t="str"/>
      <x:c r="W9" s="11" t="str"/>
      <x:c r="X9" s="14" t="str">
        <x:v>e94e56827334e81ea8e940093b3d1700</x:v>
      </x:c>
      <x:c r="Y9" s="1" t="str">
        <x:v>상호 유사도 0.9 미만</x:v>
      </x:c>
      <x:c r="Z9" s="1" t="str">
        <x:v>남포동 / 식사|간식·먹거리</x:v>
      </x:c>
    </x:row>
    <x:row r="10" ht="15" hidden="0" customHeight="1">
      <x:c r="A10" s="1" t="str">
        <x:v>위험사례</x:v>
      </x:c>
      <x:c r="B10" s="1" t="str">
        <x:v>남포동</x:v>
      </x:c>
      <x:c r="C10" s="1" t="str">
        <x:v>분류없음</x:v>
      </x:c>
      <x:c r="D10" s="1" t="str">
        <x:v>밖</x:v>
      </x:c>
      <x:c r="E10" s="1" t="str">
        <x:v>outside_scope</x:v>
      </x:c>
      <x:c r="F10" s="1" t="str">
        <x:v>대항길병원</x:v>
      </x:c>
      <x:c r="G10" s="1" t="str">
        <x:v>부산 중구 구덕로 90</x:v>
      </x:c>
      <x:c r="H10" s="11" t="str"/>
      <x:c r="I10" s="11" t="str"/>
      <x:c r="J10" s="11" t="str"/>
      <x:c r="K10" s="11" t="str"/>
      <x:c r="L10" s="1" t="str">
        <x:v>최신CSV 분류근거 빈칸 / 상호 유사도 0.9 미만 / 상호 표기 차이</x:v>
      </x:c>
      <x:c r="M10" s="1" t="str">
        <x:v>대항길외과의원</x:v>
      </x:c>
      <x:c r="N10" s="1" t="str"/>
      <x:c r="O10" s="1" t="str">
        <x:v>의료,건강 &gt; 병원 &gt; 항문외과</x:v>
      </x:c>
      <x:c r="P10" s="12" t="n">
        <x:v>0</x:v>
      </x:c>
      <x:c r="Q10" s="13" t="n">
        <x:v>0.6667</x:v>
      </x:c>
      <x:c r="R10" s="8"/>
      <x:c r="S10" s="1" t="str">
        <x:v>accepted</x:v>
      </x:c>
      <x:c r="T10" s="1" t="str">
        <x:v>검색 후보 · 동일 가게 미확인</x:v>
      </x:c>
      <x:c r="U10" s="1" t="str">
        <x:v>[["kakao", "병원", "의료,건강 &gt; 병원 &gt; 항문외과"]]</x:v>
      </x:c>
      <x:c r="V10" s="1" t="str"/>
      <x:c r="W10" s="11" t="str"/>
      <x:c r="X10" s="14" t="str">
        <x:v>7254ffef4d16ee5e6afc88227d67747f</x:v>
      </x:c>
      <x:c r="Y10" s="1" t="str">
        <x:v>상호 유사도 0.9 미만</x:v>
      </x:c>
      <x:c r="Z10" s="1" t="str">
        <x:v>남포동 / </x:v>
      </x:c>
    </x:row>
    <x:row r="11" ht="15" hidden="0" customHeight="1">
      <x:c r="A11" s="1" t="str">
        <x:v>위험사례</x:v>
      </x:c>
      <x:c r="B11" s="1" t="str">
        <x:v>대청동</x:v>
      </x:c>
      <x:c r="C11" s="1" t="str">
        <x:v>간식·먹거리</x:v>
      </x:c>
      <x:c r="D11" s="1" t="str">
        <x:v>밖</x:v>
      </x:c>
      <x:c r="E11" s="1" t="str">
        <x:v>classified</x:v>
      </x:c>
      <x:c r="F11" s="1" t="str">
        <x:v>브래딩(Breading)반죽의 말</x:v>
      </x:c>
      <x:c r="G11" s="1" t="str">
        <x:v>부산 중구 대청로 93</x:v>
      </x:c>
      <x:c r="H11" s="11" t="str"/>
      <x:c r="I11" s="11" t="str"/>
      <x:c r="J11" s="11" t="str"/>
      <x:c r="K11" s="11" t="str"/>
      <x:c r="L11" s="1" t="str">
        <x:v>500m 검색 결과 / 상호 유사도 0.9 미만 / 상호 표기 차이 / 검색 기록은 동일가게 검토 상태</x:v>
      </x:c>
      <x:c r="M11" s="1" t="str">
        <x:v>브래딩반죽의말</x:v>
      </x:c>
      <x:c r="N11" s="1" t="str">
        <x:v>부산 중구 대청로 93</x:v>
      </x:c>
      <x:c r="O11" s="1" t="str">
        <x:v>음식점 &gt; 간식 &gt; 제과,베이커리</x:v>
      </x:c>
      <x:c r="P11" s="12" t="n">
        <x:v>0.1</x:v>
      </x:c>
      <x:c r="Q11" s="13" t="n">
        <x:v>0.6364</x:v>
      </x:c>
      <x:c r="R11" s="8" t="n">
        <x:v>500</x:v>
      </x:c>
      <x:c r="S11" s="1" t="str">
        <x:v>review</x:v>
      </x:c>
      <x:c r="T11" s="1" t="str">
        <x:v>기존 연결 ID에 해당하는 검색 기록</x:v>
      </x:c>
      <x:c r="U11" s="1" t="str">
        <x:v>kakao: 음식점: 음식점 &gt; 간식 &gt; 제과,베이커리</x:v>
      </x:c>
      <x:c r="V11" s="1" t="str">
        <x:v>https://place.map.kakao.com/1447000727</x:v>
      </x:c>
      <x:c r="W11" s="11" t="str"/>
      <x:c r="X11" s="14" t="str">
        <x:v>e3a62dee76c886986e086fc14bbb785d</x:v>
      </x:c>
      <x:c r="Y11" s="1" t="str">
        <x:v>검색 기록은 동일가게 검토 상태</x:v>
      </x:c>
      <x:c r="Z11" s="1" t="str">
        <x:v>대청동 / 간식·먹거리</x:v>
      </x:c>
    </x:row>
    <x:row r="12" ht="15" hidden="0" customHeight="1">
      <x:c r="A12" s="1" t="str">
        <x:v>위험사례</x:v>
      </x:c>
      <x:c r="B12" s="1" t="str">
        <x:v>대청동</x:v>
      </x:c>
      <x:c r="C12" s="1" t="str">
        <x:v>간식·먹거리</x:v>
      </x:c>
      <x:c r="D12" s="1" t="str">
        <x:v>밖</x:v>
      </x:c>
      <x:c r="E12" s="1" t="str">
        <x:v>classified</x:v>
      </x:c>
      <x:c r="F12" s="1" t="str">
        <x:v>베티빌리지(Betty's village)</x:v>
      </x:c>
      <x:c r="G12" s="1" t="str">
        <x:v>부산 중구 광복중앙로34번길 9</x:v>
      </x:c>
      <x:c r="H12" s="11" t="str"/>
      <x:c r="I12" s="11" t="str"/>
      <x:c r="J12" s="11" t="str"/>
      <x:c r="K12" s="11" t="str"/>
      <x:c r="L12" s="1" t="str">
        <x:v>500m 검색 결과 / 상호 유사도 0.9 미만 / 상호 표기 차이 / 검색 기록은 동일가게 검토 상태</x:v>
      </x:c>
      <x:c r="M12" s="1" t="str">
        <x:v>베티빌리지</x:v>
      </x:c>
      <x:c r="N12" s="1" t="str">
        <x:v>부산 중구 광복중앙로34번길 9</x:v>
      </x:c>
      <x:c r="O12" s="1" t="str">
        <x:v>음식점 &gt; 간식 &gt; 제과,베이커리</x:v>
      </x:c>
      <x:c r="P12" s="12" t="n">
        <x:v>1</x:v>
      </x:c>
      <x:c r="Q12" s="13" t="n">
        <x:v>0.4348</x:v>
      </x:c>
      <x:c r="R12" s="8" t="n">
        <x:v>500</x:v>
      </x:c>
      <x:c r="S12" s="1" t="str">
        <x:v>review</x:v>
      </x:c>
      <x:c r="T12" s="1" t="str">
        <x:v>기존 연결 ID에 해당하는 검색 기록</x:v>
      </x:c>
      <x:c r="U12" s="1" t="str">
        <x:v>kakao: 음식점: 음식점 &gt; 간식 &gt; 제과,베이커리</x:v>
      </x:c>
      <x:c r="V12" s="1" t="str">
        <x:v>https://place.map.kakao.com/947430194</x:v>
      </x:c>
      <x:c r="W12" s="11" t="str"/>
      <x:c r="X12" s="14" t="str">
        <x:v>9361c1fe34269cb2844a7bc174f1204f</x:v>
      </x:c>
      <x:c r="Y12" s="1" t="str">
        <x:v>검색 기록은 동일가게 검토 상태</x:v>
      </x:c>
      <x:c r="Z12" s="1" t="str">
        <x:v>대청동 / 간식·먹거리</x:v>
      </x:c>
    </x:row>
    <x:row r="13" ht="15" hidden="0" customHeight="1">
      <x:c r="A13" s="1" t="str">
        <x:v>위험사례</x:v>
      </x:c>
      <x:c r="B13" s="1" t="str">
        <x:v>광복동</x:v>
      </x:c>
      <x:c r="C13" s="1" t="str">
        <x:v>분류없음</x:v>
      </x:c>
      <x:c r="D13" s="1" t="str">
        <x:v>밖</x:v>
      </x:c>
      <x:c r="E13" s="1" t="str">
        <x:v>outside_scope</x:v>
      </x:c>
      <x:c r="F13" s="1" t="str">
        <x:v>아이디어안경 광복점</x:v>
      </x:c>
      <x:c r="G13" s="1" t="str">
        <x:v>부산 중구 광복로 74-1</x:v>
      </x:c>
      <x:c r="H13" s="11" t="str"/>
      <x:c r="I13" s="11" t="str"/>
      <x:c r="J13" s="11" t="str"/>
      <x:c r="K13" s="11" t="str"/>
      <x:c r="L13" s="1" t="str">
        <x:v>상호 표기 차이</x:v>
      </x:c>
      <x:c r="M13" s="1" t="str">
        <x:v>아이디어 안경원 광복점</x:v>
      </x:c>
      <x:c r="N13" s="1" t="str"/>
      <x:c r="O13" s="1" t="str">
        <x:v>가정,생활 &gt; 패션 &gt; 패션잡화점 &gt; 안경,렌즈</x:v>
      </x:c>
      <x:c r="P13" s="12"/>
      <x:c r="Q13" s="13"/>
      <x:c r="R13" s="8"/>
      <x:c r="S13" s="1" t="str">
        <x:v>ok</x:v>
      </x:c>
      <x:c r="T13" s="1" t="str">
        <x:v>기존 캐시 · 주소좌표 없음</x:v>
      </x:c>
      <x:c r="U13" s="1" t="str">
        <x:v>sangga: 소매: 안경렌즈 소매업</x:v>
      </x:c>
      <x:c r="V13" s="1" t="str"/>
      <x:c r="W13" s="11" t="str"/>
      <x:c r="X13" s="14" t="str">
        <x:v>5e91b672ac1280ee1d5ebd98af6aeff1</x:v>
      </x:c>
      <x:c r="Y13" s="1" t="str">
        <x:v>기타 근거·상호 표기 점검</x:v>
      </x:c>
      <x:c r="Z13" s="1" t="str">
        <x:v>광복동 / </x:v>
      </x:c>
    </x:row>
    <x:row r="14" ht="15" hidden="0" customHeight="1">
      <x:c r="A14" s="1" t="str">
        <x:v>위험사례</x:v>
      </x:c>
      <x:c r="B14" s="1" t="str">
        <x:v>부평동</x:v>
      </x:c>
      <x:c r="C14" s="1" t="str">
        <x:v>식사</x:v>
      </x:c>
      <x:c r="D14" s="1" t="str">
        <x:v>밖</x:v>
      </x:c>
      <x:c r="E14" s="1" t="str">
        <x:v>classified</x:v>
      </x:c>
      <x:c r="F14" s="1" t="str">
        <x:v>창녕촌집</x:v>
      </x:c>
      <x:c r="G14" s="1" t="str">
        <x:v>부산 중구 흑교로31번길</x:v>
      </x:c>
      <x:c r="H14" s="11" t="str"/>
      <x:c r="I14" s="11" t="str"/>
      <x:c r="J14" s="11" t="str"/>
      <x:c r="K14" s="11" t="str"/>
      <x:c r="L14" s="1" t="str">
        <x:v>복수 연결근거 점검</x:v>
      </x:c>
      <x:c r="M14" s="1" t="str">
        <x:v>창녕촌집</x:v>
      </x:c>
      <x:c r="N14" s="1" t="str"/>
      <x:c r="O14" s="1" t="str">
        <x:v>음식점 &gt; 한식 &gt; 육류,고기</x:v>
      </x:c>
      <x:c r="P14" s="12"/>
      <x:c r="Q14" s="13"/>
      <x:c r="R14" s="8"/>
      <x:c r="S14" s="1" t="str">
        <x:v>ok</x:v>
      </x:c>
      <x:c r="T14" s="1" t="str">
        <x:v>기존 캐시 · 주소좌표 없음</x:v>
      </x:c>
      <x:c r="U14" s="1" t="str">
        <x:v>kakao: 음식점: 음식점 &gt; 한식 &gt; 육류,고기 | sangga: 음식: 백반/한정식</x:v>
      </x:c>
      <x:c r="V14" s="1" t="str"/>
      <x:c r="W14" s="11" t="str"/>
      <x:c r="X14" s="14" t="str">
        <x:v>87847c88e86fb749fa3857a3a2fd45d3</x:v>
      </x:c>
      <x:c r="Y14" s="1" t="str">
        <x:v>기타 근거·상호 표기 점검</x:v>
      </x:c>
      <x:c r="Z14" s="1" t="str">
        <x:v>부평동 / 식사</x:v>
      </x:c>
    </x:row>
  </x:sheetData>
  <x:dataValidations count="2">
    <x:dataValidation type="list" sqref="H5:H14">
      <x:formula1>"같음,다름,판단불가"</x:formula1>
    </x:dataValidation>
    <x:dataValidation type="list" sqref="I5:I14">
      <x:formula1>"맞음,틀림,판단불가"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b5a11edac748fa"/>
  </x:tableParts>
</x:worksheet>
</file>